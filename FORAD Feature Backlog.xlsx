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quynhtran/Documents/Documents - Quynh’s MacBook Air/FORAD/"/>
    </mc:Choice>
  </mc:AlternateContent>
  <xr:revisionPtr revIDLastSave="0" documentId="13_ncr:1_{2FD4BCE9-E229-A747-8135-48A45ED8D90B}" xr6:coauthVersionLast="47" xr6:coauthVersionMax="47" xr10:uidLastSave="{00000000-0000-0000-0000-000000000000}"/>
  <bookViews>
    <workbookView xWindow="0" yWindow="660" windowWidth="24740" windowHeight="16320" tabRatio="500" activeTab="3" xr2:uid="{00000000-000D-0000-FFFF-FFFF00000000}"/>
  </bookViews>
  <sheets>
    <sheet name="Overview" sheetId="1" r:id="rId1"/>
    <sheet name="Students" sheetId="2" r:id="rId2"/>
    <sheet name="S-06 Operations spec" sheetId="3" r:id="rId3"/>
    <sheet name="Teachers" sheetId="4" r:id="rId4"/>
    <sheet name="Platform (shared)" sheetId="5" r:id="rId5"/>
  </sheets>
  <definedNames>
    <definedName name="_xlnm._FilterDatabase" localSheetId="4" hidden="1">'Platform (shared)'!$A$4:$G$15</definedName>
    <definedName name="_xlnm._FilterDatabase" localSheetId="2" hidden="1">'S-06 Operations spec'!$A$5:$J$55</definedName>
    <definedName name="_xlnm._FilterDatabase" localSheetId="1" hidden="1">Students!$A$4:$G$40</definedName>
    <definedName name="_xlnm._FilterDatabase" localSheetId="3" hidden="1">Teachers!$A$4:$G$30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 l="1"/>
  <c r="E10" i="1"/>
  <c r="D10" i="1"/>
  <c r="G10" i="1" s="1"/>
  <c r="F7" i="1"/>
  <c r="E7" i="1"/>
  <c r="D7" i="1"/>
  <c r="G7" i="1" s="1"/>
  <c r="F6" i="1"/>
  <c r="E6" i="1"/>
  <c r="D6" i="1"/>
  <c r="G6" i="1" s="1"/>
  <c r="F5" i="1"/>
  <c r="F8" i="1" s="1"/>
  <c r="E5" i="1"/>
  <c r="E8" i="1" s="1"/>
  <c r="D5" i="1"/>
  <c r="D8" i="1" l="1"/>
  <c r="G5" i="1"/>
  <c r="G8" i="1" s="1"/>
</calcChain>
</file>

<file path=xl/sharedStrings.xml><?xml version="1.0" encoding="utf-8"?>
<sst xmlns="http://schemas.openxmlformats.org/spreadsheetml/2006/main" count="977" uniqueCount="475">
  <si>
    <t>FORAD redesign · Feature backlog</t>
  </si>
  <si>
    <t>Prepared 10 Oct 2026 from the FORAD 2.0 Player Manual (2013), the v2.1 installer files and the redesign prototype.</t>
  </si>
  <si>
    <t>Phase</t>
  </si>
  <si>
    <t>Goal</t>
  </si>
  <si>
    <t>Exit criteria</t>
  </si>
  <si>
    <t>Students</t>
  </si>
  <si>
    <t>Teachers</t>
  </si>
  <si>
    <t>Platform</t>
  </si>
  <si>
    <t>Total</t>
  </si>
  <si>
    <t>Phase 1 – MVP</t>
  </si>
  <si>
    <t>Replace the Windows program: one class can play a full period loop online with FORAD 2.0's exact logic.</t>
  </si>
  <si>
    <t>A real class completes Period 0 → 1 → 2 end to end; engine output matches FORAD 2.0 golden files.</t>
  </si>
  <si>
    <t>Phase 2 – Guided learning</t>
  </si>
  <si>
    <t>Make the game easier to learn: guidance, stress testing, coaching and teacher insight.</t>
  </si>
  <si>
    <t>Students stress-test before submitting; fewer support questions; teacher previews shocks before publishing.</t>
  </si>
  <si>
    <t>Phase 3 – Scale &amp; enrich</t>
  </si>
  <si>
    <t>Scale beyond one course: grading, LMS, AI coaching, licensing to other schools.</t>
  </si>
  <si>
    <t>A second school or section runs FORAD without developer help.</t>
  </si>
  <si>
    <t>Must-have features in Phase 1</t>
  </si>
  <si>
    <t>How to use</t>
  </si>
  <si>
    <t>• Phase and Priority on each feature tab are dropdowns; this sheet's counts update when you change them.</t>
  </si>
  <si>
    <t>• Priority: Must = phase cannot ship without it; Should = planned for the phase; Could = only if time allows.</t>
  </si>
  <si>
    <t>• Origin: 'In FORAD 2.0' = same rule as the 2013 program; 'Improved' = same function, redesigned; 'New' = not in FORAD 2.0.</t>
  </si>
  <si>
    <t>• Phase 1 is deliberately close to FORAD 2.0 so the class can switch without changing how the game is taught.</t>
  </si>
  <si>
    <t>FORAD redesign · Students features</t>
  </si>
  <si>
    <t>Phase and Priority are dropdowns. Origin: whether the feature exists in FORAD 2.0 (2013) or is new in the redesign.</t>
  </si>
  <si>
    <t>ID</t>
  </si>
  <si>
    <t>Area</t>
  </si>
  <si>
    <t>Feature name</t>
  </si>
  <si>
    <t>Details</t>
  </si>
  <si>
    <t>Priority</t>
  </si>
  <si>
    <t>Origin</t>
  </si>
  <si>
    <t>S-01</t>
  </si>
  <si>
    <t>Access</t>
  </si>
  <si>
    <t>Sign in and join a team</t>
  </si>
  <si>
    <t>Student signs in, joins a team with a code from the teacher, and always sees team name, period number and the decision deadline in the header.</t>
  </si>
  <si>
    <t>Must</t>
  </si>
  <si>
    <t>New</t>
  </si>
  <si>
    <t>S-02</t>
  </si>
  <si>
    <t>Navigation</t>
  </si>
  <si>
    <t>Main menu (hamburger)</t>
  </si>
  <si>
    <t>Two areas: (1) Market Reports &amp; Results, (2) Company execution (decision workspace + stress test lab). Replaces the old File/Decisions/Results/Window menus.</t>
  </si>
  <si>
    <t>Improved from FORAD 2.0</t>
  </si>
  <si>
    <t>S-03</t>
  </si>
  <si>
    <t>Market reports</t>
  </si>
  <si>
    <t>Period market report</t>
  </si>
  <si>
    <t>Teacher's report for each period: commentary, interest rates (LIBOR, deposit, LT fixed per currency), FX spot/forward/volatility, oil spot/futures, cartel price and volume guidance, tender announcement. Archived by period.</t>
  </si>
  <si>
    <t>S-04</t>
  </si>
  <si>
    <t>Decision workspace</t>
  </si>
  <si>
    <t>Guided 6-step decision flow</t>
  </si>
  <si>
    <t>Predict → Operate → Invest → Finance → Hedge → Review. Japan, Germany and US Holding shown side by side in each step instead of 15 separate tabs.</t>
  </si>
  <si>
    <t>S-05</t>
  </si>
  <si>
    <t>Predictions</t>
  </si>
  <si>
    <t>End-of-period JPY/USD and USD/EUR, oil price, Japan and Germany domestic/export volumes and prices, forecast EPS. Defaults to last period's actual.</t>
  </si>
  <si>
    <t>In FORAD 2.0</t>
  </si>
  <si>
    <t>S-06</t>
  </si>
  <si>
    <t>Operations inputs</t>
  </si>
  <si>
    <t>Operations screens for Japan and Germany only (the US Holding has no operations). Laid out like FORAD 2.0: one table per subsidiary, last period's actual next to this period's decision. Capacity is entered as the new total: Japan adds in 50,000-unit blocks at ¥100,000 per unit, Germany in 10,000-unit blocks at €2,000 per unit; paid day 0, usable at once, depreciated over 20 years, never reduced. Production: up to capacity; each German unit uses 2 Japanese units, so Germany is decided first. Live inventory line per subsidiary: beginning + production − forecast sales = ending; units sold from current production cost 7.5% extra. Customer terms (domestic, export) and supplier terms (domestic, imported materials): 0/30/60/90 days, −3/−2/−1/0% on price. Export invoice currency: the period's preferred currency, or another at −1%. Inter-company: sales price in USD (±5% of last period), currency and collection days, set in Germany and shown read-only in Japan. Dividend to holding company (day 90; sets the local tax rate). Japan: oil futures, 1,000 barrels per contract. Field-by-field spec, rules and open questions: sheet 'S-06 Operations spec'.</t>
  </si>
  <si>
    <t>S-07</t>
  </si>
  <si>
    <t>Tender market bid</t>
  </si>
  <si>
    <t>Separate 'Tender market' window from Germany Operations, as in FORAD 2.0: tender market size (units) announced for the period; official bid: price (USD, 30–130% of last period's German domestic price) and units; actual/expected result: expected clearing price and units, and tender revenues (USD), paid on day 90. Dutch auction: lowest prices filled first, all at the clearing price.</t>
  </si>
  <si>
    <t>S-08</t>
  </si>
  <si>
    <t>Investing inputs</t>
  </si>
  <si>
    <t>Laid out like FORAD 2.0: one table per unit, last period's actual next to this period's decision. Marketable securities in all three units (local currency): invest on day 0 or day 45, redeem on day 45 or day 90, balance rolls over; redemptions limited to the balance invested; earns the domestic deposit rate paid on days 45 and 90. Japan and Germany: inter-company loans to the US in USD, beginning (day 0) or mid (day 45), 45 days each, one rate for the period between 3-month USD LIBOR and LIBOR + 3%; interest shown. US Holding: share repurchase from Period 2, up to 5% of last period's shares at last period's share price, paid day 45; dividend per share paid day 90 on the shares then outstanding (FORAD 2.0 screen caps: 1,000,000 shares, $5.00).</t>
  </si>
  <si>
    <t>S-09</t>
  </si>
  <si>
    <t>Financing inputs</t>
  </si>
  <si>
    <t>ST loans in USD/JPY/EUR (beginning and mid), IC borrowing, LT fixed and floating issue/repay, interest-rate swaps (enter/unwind), call the zero-coupon convertible, equity issue.</t>
  </si>
  <si>
    <t>S-10</t>
  </si>
  <si>
    <t>Hedging inputs</t>
  </si>
  <si>
    <t>FX forwards, call and put options (notional + strike, premium via Black-Scholes) per entity and currency, interest-rate futures at the holding company.</t>
  </si>
  <si>
    <t>S-11</t>
  </si>
  <si>
    <t>Inline validation</t>
  </si>
  <si>
    <t>Every limit shown before it is hit (capacity, inventory ≥ 0, transfer price ±5%, 200% of equity, strike ±20%, 5% equity/buyback, 82% debt/assets). No silent input resets.</t>
  </si>
  <si>
    <t>S-12</t>
  </si>
  <si>
    <t>Market projection</t>
  </si>
  <si>
    <t>Live projection sidebar</t>
  </si>
  <si>
    <t>Share price, EPS, annualized EPS, P/E, six P/E scores and guardrails (debt/assets, inventory, lowest cash) recalculated on every change. Replaces Update / Ctrl+R.</t>
  </si>
  <si>
    <t>S-13</t>
  </si>
  <si>
    <t>Cash on settlement days</t>
  </si>
  <si>
    <t>Projected cash by entity on days 0, 30, 45, 60 and 90 in local currency, with overdraft warnings.</t>
  </si>
  <si>
    <t>S-14</t>
  </si>
  <si>
    <t>Autosave and team draft</t>
  </si>
  <si>
    <t>Draft saved on the server as the team works; any teammate can open the latest version. Replaces local DecisionsT#P#.txt files and backups.</t>
  </si>
  <si>
    <t>S-15</t>
  </si>
  <si>
    <t>Submit decision</t>
  </si>
  <si>
    <t>Submit before the deadline; forecast EPS locked for the Planning score; resubmit allowed until the deadline; clear confirmation.</t>
  </si>
  <si>
    <t>S-16</t>
  </si>
  <si>
    <t>Results</t>
  </si>
  <si>
    <t>Period results</t>
  </si>
  <si>
    <t>After the teacher runs the period: forecast vs actual market data, consolidated and subsidiary statements (local and USD), cash flow, tax summary and gross-up, P/E score breakdown, share price.</t>
  </si>
  <si>
    <t>S-17</t>
  </si>
  <si>
    <t>Cartel summary / leaderboard</t>
  </si>
  <si>
    <t>All teams' share price, EPS, P/E elements, consolidated balance sheet and income statement, and selected operating data.</t>
  </si>
  <si>
    <t>S-18</t>
  </si>
  <si>
    <t>Export to Excel</t>
  </si>
  <si>
    <t>Download decisions and results history (replaces 'Decision and Results Output.csv').</t>
  </si>
  <si>
    <t>Should</t>
  </si>
  <si>
    <t>S-19</t>
  </si>
  <si>
    <t>Guidance</t>
  </si>
  <si>
    <t>Field help tooltips</t>
  </si>
  <si>
    <t>'?' on every input: what it is, limits, when cash moves, which scores it affects, and a 'think about it' prompt from the manual's FORAD Tips.</t>
  </si>
  <si>
    <t>S-20</t>
  </si>
  <si>
    <t>Stress testing</t>
  </si>
  <si>
    <t>Stress test lab</t>
  </si>
  <si>
    <t>One-click run against 6 standard shocks (yen ±10%, euro −5%, oil +25%, volumes −3%, combined) plus a custom scenario. Shows price, EPS miss, Planning score, lowest cash, debt/assets and red flags.</t>
  </si>
  <si>
    <t>S-21</t>
  </si>
  <si>
    <t>Stress run history</t>
  </si>
  <si>
    <t>Every run saved with a snapshot of the decisions, so students can change something, rerun and compare worst case and range. Flags when decisions changed since the last run.</t>
  </si>
  <si>
    <t>S-22</t>
  </si>
  <si>
    <t>FX hedge payoff chart</t>
  </si>
  <si>
    <t>Share price across end-of-period rates for your hedge vs unhedged vs 100% forward cover (replaces the old FX graph windows).</t>
  </si>
  <si>
    <t>S-23</t>
  </si>
  <si>
    <t>Pre-submit checklist</t>
  </si>
  <si>
    <t>Checks production fit, cash, debt/assets, hedge cover, tax rate, dividend and whether the current decision has been stress-tested, each with a jump link.</t>
  </si>
  <si>
    <t>S-24</t>
  </si>
  <si>
    <t>Impact of last change</t>
  </si>
  <si>
    <t>Shows the $ effect on share price of the most recent edit, so cause and effect is visible.</t>
  </si>
  <si>
    <t>S-25</t>
  </si>
  <si>
    <t>Results coaching</t>
  </si>
  <si>
    <t>Plain-language 'why your price moved': EPS effect vs P/E effect, cost of each forecast miss, and 2–3 things to carry into the next period.</t>
  </si>
  <si>
    <t>S-26</t>
  </si>
  <si>
    <t>History across periods</t>
  </si>
  <si>
    <t>Decisions and results side by side for all closed periods, with share price and score trends.</t>
  </si>
  <si>
    <t>S-27</t>
  </si>
  <si>
    <t>Collaboration</t>
  </si>
  <si>
    <t>Team roles and comments</t>
  </si>
  <si>
    <t>Assign roles (Japan, Germany, treasury, tax), see who is editing, comment on a field, and see who changed what.</t>
  </si>
  <si>
    <t>S-28</t>
  </si>
  <si>
    <t>Tax gross-up visualizer</t>
  </si>
  <si>
    <t>Shows Japan and Germany tax rate vs dividend payout and the US foreign tax credit/deficit balance between the two subsidiaries.</t>
  </si>
  <si>
    <t>S-29</t>
  </si>
  <si>
    <t>Debt and swap manager</t>
  </si>
  <si>
    <t>All loans and swaps in one view: rates, maturities, mark-to-market, issue-cost amortization.</t>
  </si>
  <si>
    <t>Could</t>
  </si>
  <si>
    <t>S-30</t>
  </si>
  <si>
    <t>Onboarding</t>
  </si>
  <si>
    <t>Practice company</t>
  </si>
  <si>
    <t>Sandbox period for learning the interface before Period 1 (the manual's generic Team 1), plus a short guided tour.</t>
  </si>
  <si>
    <t>S-31</t>
  </si>
  <si>
    <t>Notifications</t>
  </si>
  <si>
    <t>Alerts</t>
  </si>
  <si>
    <t>New market report published, deadline reminders, results released.</t>
  </si>
  <si>
    <t>S-32</t>
  </si>
  <si>
    <t>Scenarios</t>
  </si>
  <si>
    <t>Saved decision scenarios</t>
  </si>
  <si>
    <t>Save named what-if decision sets and compare them side by side before choosing one to submit.</t>
  </si>
  <si>
    <t>S-33</t>
  </si>
  <si>
    <t>Defense prep</t>
  </si>
  <si>
    <t>Annual report pack</t>
  </si>
  <si>
    <t>Auto-generated statements, charts and decision log for the biennial report and the final defense.</t>
  </si>
  <si>
    <t>S-34</t>
  </si>
  <si>
    <t>AI coach</t>
  </si>
  <si>
    <t>Ask 'why' questions about your own results and get explanations without being told what to decide.</t>
  </si>
  <si>
    <t>S-35</t>
  </si>
  <si>
    <t>Glossary and learning library</t>
  </si>
  <si>
    <t>Terms and concepts linked from tooltips to manual chapters and short explainers.</t>
  </si>
  <si>
    <t>S-36</t>
  </si>
  <si>
    <t>Mobile view and localization</t>
  </si>
  <si>
    <t>Results and alerts on phones; interface translations for international cohorts.</t>
  </si>
  <si>
    <t>S-06 · Operations inputs · field specification</t>
  </si>
  <si>
    <t>Sources: FORAD 2.0 Player Manual §3.2–3.3, 3.4.3, 3.6.7, 3.7 (page numbers in column I); legacy Operations screen (DecOps.dat), decision file layout (DecisionInfo.txt) and Period 0 assumptions (Assumptions.txt) from the v2.1 installer; FORAD 2.0 screenshots of the Japan and Germany Operations screens and the German tender window (Team 3, Period 2 → 3).</t>
  </si>
  <si>
    <t>Kind: Decision = student input · Calculated = shown read-only, updates live · Forecast (S-05) = already built · Rule = behaviour the screen must enforce · Open question = confirm with the professor (feeds P-03).</t>
  </si>
  <si>
    <t>#</t>
  </si>
  <si>
    <t>Entity</t>
  </si>
  <si>
    <t>Group</t>
  </si>
  <si>
    <t>Field</t>
  </si>
  <si>
    <t>Kind</t>
  </si>
  <si>
    <t>Options and limits</t>
  </si>
  <si>
    <t>Default / Period 0</t>
  </si>
  <si>
    <t>Cash timing, cost and FX effect</t>
  </si>
  <si>
    <t>Manual</t>
  </si>
  <si>
    <t>Notes for the web app</t>
  </si>
  <si>
    <t>Germany</t>
  </si>
  <si>
    <t>Capacity</t>
  </si>
  <si>
    <t>Capacity (total)</t>
  </si>
  <si>
    <t>Decision</t>
  </si>
  <si>
    <t>Entered as the new total, as on the FORAD 2.0 screen (95,000 → 100,000). Must be last period's capacity plus a multiple of 10,000 units, at €2,000 per added unit at €2,000 per unit of capacity (€20M per block). Cannot be negative; existing capacity cannot be sold. Legacy cap on total capacity: 10,000,000 units.</t>
  </si>
  <si>
    <t>0 · Period 0 capacity 80,000</t>
  </si>
  <si>
    <t>Cash out on day 0, available immediately. Depreciated over 20 years (80 quarters) starting this period.</t>
  </si>
  <si>
    <t>p. 26</t>
  </si>
  <si>
    <t>Show the units added and their € cost under the input.</t>
  </si>
  <si>
    <t>Production</t>
  </si>
  <si>
    <t>Production decided</t>
  </si>
  <si>
    <t>Whole units, at least 1 and no more than capacity. Must leave ending inventory at or above the minimum level, based on the forecast sales.</t>
  </si>
  <si>
    <t>Period 0: 80,000</t>
  </si>
  <si>
    <t>Materials and labour paid per supplier terms. Each unit uses 2 units from Japan, which become Japan's inter-company sales.</t>
  </si>
  <si>
    <t>p. 26, 32–33</t>
  </si>
  <si>
    <t>Decide Germany first: this number drives Japan's sales volume. Show the Japan units it pulls (2×).</t>
  </si>
  <si>
    <t>Beginning inventory</t>
  </si>
  <si>
    <t>Calculated</t>
  </si>
  <si>
    <t>Last period's ending inventory.</t>
  </si>
  <si>
    <t>85,000 units (Assumptions.txt)</t>
  </si>
  <si>
    <t>—</t>
  </si>
  <si>
    <t>p. 32</t>
  </si>
  <si>
    <t>Sales volume</t>
  </si>
  <si>
    <t>Domestic + export forecast (S-05). The FORAD 2.0 screen leaves expected tender units out (100,000 = 22,000 + 78,000 with 10,000 tender units expected).</t>
  </si>
  <si>
    <t>p. 30</t>
  </si>
  <si>
    <t>See Q7.</t>
  </si>
  <si>
    <t>Ending inventory</t>
  </si>
  <si>
    <t>Beginning inventory + production − sales volume.</t>
  </si>
  <si>
    <t>Ties up cash; low inventory raises excess production cost.</t>
  </si>
  <si>
    <t>Red if negative or below the minimum.</t>
  </si>
  <si>
    <t>Sales from current production</t>
  </si>
  <si>
    <t>Sales volume − beginning inventory (if positive). These units carry a 7.5% excess production cost.</t>
  </si>
  <si>
    <t>Extra cost per unit = 7.5% of this period's production cost.</t>
  </si>
  <si>
    <t>p. 29</t>
  </si>
  <si>
    <t>Show units and the € cost of the 7.5% charge.</t>
  </si>
  <si>
    <t>Production cost per unit</t>
  </si>
  <si>
    <t>2 units domestic materials (€) + 2 units from Japan (inter-company) + 2 units labour and overhead (€). Inter-company purchases ≈ 50% of COGS. COGS per unit = weighted average of beginning inventory and this period's production.</t>
  </si>
  <si>
    <t>SG&amp;A is a % of revenue (6.5% in Assumptions.txt).</t>
  </si>
  <si>
    <t>Read-only breakdown so students see how the transfer price feeds German costs.</t>
  </si>
  <si>
    <t>Customer terms</t>
  </si>
  <si>
    <t>Domestic collection days</t>
  </si>
  <si>
    <t>0, 30, 60 or 90 days. Price adjustment −3%, −2%, −1%, none.</t>
  </si>
  <si>
    <t>90</t>
  </si>
  <si>
    <t>Receivables collected evenly over the period.</t>
  </si>
  <si>
    <t>p. 27, 32</t>
  </si>
  <si>
    <t>Show the price effect next to the choice.</t>
  </si>
  <si>
    <t>Export collection days</t>
  </si>
  <si>
    <t>0, 30, 60 or 90 days. Price adjustment −3%, −2%, −1%, none. Set separately from domestic.</t>
  </si>
  <si>
    <t>Receivables in a foreign currency create an FX exposure.</t>
  </si>
  <si>
    <t>Export currency of invoice</t>
  </si>
  <si>
    <t>USD, JPY or EUR. The period's preferred currency is in the market report (USD in every Spring 2026 report). Any other currency: −1% on price.</t>
  </si>
  <si>
    <t>Preferred currency</t>
  </si>
  <si>
    <t>Creates a receivable exposure in that currency.</t>
  </si>
  <si>
    <t>p. 27</t>
  </si>
  <si>
    <t>Pre-select the preferred currency and label it.</t>
  </si>
  <si>
    <t>Supplier terms</t>
  </si>
  <si>
    <t>Domestic materials payable days</t>
  </si>
  <si>
    <t>0, 30, 60 or 90 days. Price adjustment −3%, −2%, −1%, none. Paying earlier lowers the price.</t>
  </si>
  <si>
    <t>€ payable, settled evenly.</t>
  </si>
  <si>
    <t>Import payable days</t>
  </si>
  <si>
    <t>0, 30, 60 or 90 days. On the FORAD 2.0 Germany screen, but Germany's only imports are inter-company units.</t>
  </si>
  <si>
    <t>See Q8.</t>
  </si>
  <si>
    <t>Inter-company</t>
  </si>
  <si>
    <t>Inter-company sales price (USD)</t>
  </si>
  <si>
    <t>Entered in USD per unit whatever the invoice currency (screenshot: invoiced in JPY, price 550 → 570 USD). Within ±5% of last period's price. No price adjustment for the currency or pay terms chosen.</t>
  </si>
  <si>
    <t>Last period's price</t>
  </si>
  <si>
    <t>Revenue for Japan, cost for Germany; shifts profit and tax between them, not consolidated sales.</t>
  </si>
  <si>
    <t>p. 28</t>
  </si>
  <si>
    <t>Show the allowed range. Set here only; Japan shows it read-only.</t>
  </si>
  <si>
    <t>Inter-company currency of invoice</t>
  </si>
  <si>
    <t>USD, JPY or EUR. No penalty.</t>
  </si>
  <si>
    <t>USD</t>
  </si>
  <si>
    <t>Creates a payable exposure in Germany and a receivable exposure in Japan when not their home currency.</t>
  </si>
  <si>
    <t>Inter-company collection days</t>
  </si>
  <si>
    <t>0, 30, 60 or 90 days. No price adjustment.</t>
  </si>
  <si>
    <t>Japan collects and Germany pays on these days.</t>
  </si>
  <si>
    <t>Same label as FORAD 2.0; shown read-only on Japan's screen. The screenshot team used 0 days.</t>
  </si>
  <si>
    <t>Inter-company units</t>
  </si>
  <si>
    <t>2 × Germany production.</t>
  </si>
  <si>
    <t>p. 26, 28</t>
  </si>
  <si>
    <t>Dividend</t>
  </si>
  <si>
    <t>Dividend to holding company (€)</t>
  </si>
  <si>
    <t>Zero or more. German tax rate is 56% at 0% or 100% payout and lowest (45%) at a 56% payout of EBT.</t>
  </si>
  <si>
    <t>0</t>
  </si>
  <si>
    <t>Paid on day 90. 5% withholding tax. Creates EUR exposure at the US Holding and foreign-source income for US tax.</t>
  </si>
  <si>
    <t>p. 35–36, 56</t>
  </si>
  <si>
    <t>Show payout % of forecast EBT and the resulting tax rate.</t>
  </si>
  <si>
    <t>Tender market</t>
  </si>
  <si>
    <t>Tender bid and forecast</t>
  </si>
  <si>
    <t>Elsewhere</t>
  </si>
  <si>
    <t>Built in S-07: bid price (30–130% of last German price) and units, plus expected volume and clearing price.</t>
  </si>
  <si>
    <t>Paid in USD on day 90.</t>
  </si>
  <si>
    <t>p. 30–32</t>
  </si>
  <si>
    <t>Sits in this screen, below the operations inputs.</t>
  </si>
  <si>
    <t>Japan</t>
  </si>
  <si>
    <t>Entered as the new total, as on the FORAD 2.0 screen (520,000 → 550,000 in the screenshot). Must be last period's capacity plus a multiple of 50,000 units, at ¥100,000 per added unit at ¥100,000 per unit of capacity (¥5bn per block). Cannot be negative; existing capacity cannot be sold. Legacy cap on total capacity: 10,000,000 units.</t>
  </si>
  <si>
    <t>0 · Period 0 capacity 400,000</t>
  </si>
  <si>
    <t>Period 0: 300,000</t>
  </si>
  <si>
    <t>Materials and labour paid per supplier terms; oil paid in cash.</t>
  </si>
  <si>
    <t>p. 26, 28–29, 33</t>
  </si>
  <si>
    <t>400,000 units (Assumptions.txt)</t>
  </si>
  <si>
    <t>Domestic + export forecast (S-05) + inter-company units (2 × Germany production).</t>
  </si>
  <si>
    <t>Shows the three parts so the link to Germany is visible.</t>
  </si>
  <si>
    <t>2 units domestic materials (¥) + 2 units imported materials ($) + 4 barrels of oil ($) + 5 hours labour and overhead (¥). Oil is 25–50% of COGS. COGS per unit = weighted average of beginning inventory and this period's production.</t>
  </si>
  <si>
    <t>SG&amp;A = 7% of revenue.</t>
  </si>
  <si>
    <t>Uses the oil forecast from S-05.</t>
  </si>
  <si>
    <t>USD, JPY or EUR. The period's preferred currency is in the market report. Any other currency: −1% on price.</t>
  </si>
  <si>
    <t>¥ payable, settled evenly.</t>
  </si>
  <si>
    <t>Imported materials payable days</t>
  </si>
  <si>
    <t>0, 30, 60 or 90 days. Price adjustment −3%, −2%, −1%, none. Always invoiced in USD.</t>
  </si>
  <si>
    <t>USD payable: an FX exposure for Japan.</t>
  </si>
  <si>
    <t>Oil purchases</t>
  </si>
  <si>
    <t>Rule</t>
  </si>
  <si>
    <t>Not a decision. Bought in USD for cash as needed; no terms, no stockpiling.</t>
  </si>
  <si>
    <t>No FX exposure or payable from oil.</t>
  </si>
  <si>
    <t>p. 28–29, 32–33</t>
  </si>
  <si>
    <t>Show as a fixed line so students know it is not missing.</t>
  </si>
  <si>
    <t>Transfer price, currency, collection days, units</t>
  </si>
  <si>
    <t>Read-only here; set on Germany Operations.</t>
  </si>
  <si>
    <t>Japan's inter-company receivable.</t>
  </si>
  <si>
    <t>Link to the Germany field.</t>
  </si>
  <si>
    <t>Dividend to holding company (¥)</t>
  </si>
  <si>
    <t>Zero or more. Japanese tax rate is 35% at 0% or 100% payout and lowest (25%) at a 65% payout of EBT.</t>
  </si>
  <si>
    <t>Paid on day 90. 5% withholding tax. Creates JPY exposure at the US Holding and foreign-source income for US tax.</t>
  </si>
  <si>
    <t>p. 35–36, 57</t>
  </si>
  <si>
    <t>Oil</t>
  </si>
  <si>
    <t>Ending oil price forecast</t>
  </si>
  <si>
    <t>Forecast (S-05)</t>
  </si>
  <si>
    <t>Already built.</t>
  </si>
  <si>
    <t>Last period's actual</t>
  </si>
  <si>
    <t>p. 24</t>
  </si>
  <si>
    <t>Oil futures price per barrel</t>
  </si>
  <si>
    <t>From the instructor's market data (48.59 in the screenshot). The Spring 2026 BIMR reports do not publish it, so the web app shows — until the instructor supplies it (T-04).</t>
  </si>
  <si>
    <t>p. 54</t>
  </si>
  <si>
    <t>Oil exposure, barrels</t>
  </si>
  <si>
    <t>−4 barrels × production, shown as long/(short). Confirmed by the screenshot: 550,000 units → (2,200,000).</t>
  </si>
  <si>
    <t>Oil futures contracts</t>
  </si>
  <si>
    <t>Buy (+) or sell (−) contracts of 1,000 barrels. Buying hedges Japan's oil cost; selling or over-buying is speculation. Screenshot: 2,080 contracts fully hedged 2,080,000 barrels in Period 2.</t>
  </si>
  <si>
    <t>0 (the screenshot's Period 3 column starts at 0)</t>
  </si>
  <si>
    <t>Gain or loss at period end from the futures price vs the actual oil price.</t>
  </si>
  <si>
    <t>Show barrels covered vs exposure.</t>
  </si>
  <si>
    <t>US Holding</t>
  </si>
  <si>
    <t>No operations inputs</t>
  </si>
  <si>
    <t>The holding company does not produce. Royalty income in USD is automatic.</t>
  </si>
  <si>
    <t>p. 33</t>
  </si>
  <si>
    <t>Already shown as a notice in the workspace.</t>
  </si>
  <si>
    <t>All</t>
  </si>
  <si>
    <t>Validation</t>
  </si>
  <si>
    <t>Show limits before they are hit</t>
  </si>
  <si>
    <t>Capacity ≥ production; ending inventory not negative and not below the minimum; transfer price within ±5%; capacity in whole blocks. FORAD 2.0 reset bad inputs to last period with a system message; the web app keeps the input and explains the issue instead.</t>
  </si>
  <si>
    <t>Ties to S-11 inline validation.</t>
  </si>
  <si>
    <t>Forced production after the period runs</t>
  </si>
  <si>
    <t>If actual sales exceed what was produced, the model forces extra production at the excess cost, financed by overdraft, creating unplanned FX exposure.</t>
  </si>
  <si>
    <t>Overdraft interest and extra FX exposure.</t>
  </si>
  <si>
    <t>p. 29, 33</t>
  </si>
  <si>
    <t>Warn when ending inventory is thinner than the ±3% band around the sales forecast.</t>
  </si>
  <si>
    <t>Layout</t>
  </si>
  <si>
    <t>Screen layout</t>
  </si>
  <si>
    <t>One table per subsidiary, rows in FORAD 2.0 order, two columns: 'Period N−1 actual' (grey) and 'Period N decision' (white inputs; calculated rows grey). Forecasts sit in the same table (sales units, price, oil price).</t>
  </si>
  <si>
    <t>Screens</t>
  </si>
  <si>
    <t>Built in the web app on 10 Oct 2026; last-period team figures are sample data until S-16.</t>
  </si>
  <si>
    <t>Defaults</t>
  </si>
  <si>
    <t>Starting values</t>
  </si>
  <si>
    <t>Inputs start at last period's decisions; oil futures start at 0.</t>
  </si>
  <si>
    <t>See Q6.</t>
  </si>
  <si>
    <t>Open question</t>
  </si>
  <si>
    <t>Q1. Minimum ending inventory: the manual says production cannot leave inventory below 'a certain level' but gives no number or formula.</t>
  </si>
  <si>
    <t>Add to P-03 (Confirm open rules).</t>
  </si>
  <si>
    <t>Q2. Credit terms: the manual allows only 0, 30, 60 or 90 days; the legacy screen accepts any value up to 270. Which applies?</t>
  </si>
  <si>
    <t>Q3. Transfer price: the screenshots confirm it is entered in USD (550 → 570, +3.6%). The installer's sample decision file shows 400 → 436 (+9%), outside ±5%. Is ±5% enforced against last period's price?</t>
  </si>
  <si>
    <t>Q4. Oil futures limit: the legacy screen caps contracts at about ±5,911. Is there a rule behind this (e.g. tied to production)?</t>
  </si>
  <si>
    <t>Q5. German SG&amp;A: Assumptions.txt has 6.5% of revenue; the manual only states 7% (for Japan).</t>
  </si>
  <si>
    <t>Q6. Defaults: do production, terms and currencies default to last period's decision, or to the standard (90 days, preferred currency)?</t>
  </si>
  <si>
    <t>Q7. Tender units and inventory: the manual says tender sales reduce inventory, but the FORAD 2.0 Germany screen leaves expected tender units out of Sales Volume and Ending Inventory. Does the model take tender units from inventory when the period runs?</t>
  </si>
  <si>
    <t>Q8. Germany 'Import Payable Days': what does it apply to, given Germany's imports are the inter-company units with their own collection days?</t>
  </si>
  <si>
    <t>Phase and Priority are dropdowns. Teacher inputs (market data, run period) drive every student's results.</t>
  </si>
  <si>
    <t>T-01</t>
  </si>
  <si>
    <t>Course setup</t>
  </si>
  <si>
    <t>Create course and season</t>
  </si>
  <si>
    <t>Course/section, number of periods, calendar of decision deadlines, number of teams (up to 20), invite links.</t>
  </si>
  <si>
    <t>T-02</t>
  </si>
  <si>
    <t>Roster and team management</t>
  </si>
  <si>
    <t>Assign students to teams, rename teams, move students, see team membership.</t>
  </si>
  <si>
    <t>T-03</t>
  </si>
  <si>
    <t>Starting company (Period 0)</t>
  </si>
  <si>
    <t>Load the standard FORAD 2.0 Period 0 company, identical for all teams.</t>
  </si>
  <si>
    <t>T-04</t>
  </si>
  <si>
    <t>Market data</t>
  </si>
  <si>
    <t>Assumptions editor</t>
  </si>
  <si>
    <t>Per period, per country (US, Japan, Germany): interest rates, FX (begin/end/forward/volatility), oil spot/futures, cartel prices and volumes, input costs, tax rates, spreads, tender size. Copy from previous period; import legacy Assumptions.txt.</t>
  </si>
  <si>
    <t>T-05</t>
  </si>
  <si>
    <t>Market report authoring</t>
  </si>
  <si>
    <t>Write commentary; guidance tables pre-filled from the assumptions; publish to students at the start of the period.</t>
  </si>
  <si>
    <t>T-06</t>
  </si>
  <si>
    <t>Run period</t>
  </si>
  <si>
    <t>Submission monitor</t>
  </si>
  <si>
    <t>Which teams have submitted, when, and who is still in draft or late.</t>
  </si>
  <si>
    <t>T-07</t>
  </si>
  <si>
    <t>Run the period</t>
  </si>
  <si>
    <t>Replace forecasts with actuals, compute every team, clear the tender auction, apply forced production and overdrafts, update credit ratings and scores. Dry run before publishing.</t>
  </si>
  <si>
    <t>T-08</t>
  </si>
  <si>
    <t>Tender auction management</t>
  </si>
  <si>
    <t>Set announced range and final volume; Dutch auction clearing across teams (and outside bidders); view bids and the clearing price.</t>
  </si>
  <si>
    <t>T-09</t>
  </si>
  <si>
    <t>Convertible bondholder decision</t>
  </si>
  <si>
    <t>Decide whether bondholders convert early when the bond is in the money (1.2M new shares).</t>
  </si>
  <si>
    <t>T-10</t>
  </si>
  <si>
    <t>Publish results and cartel summary</t>
  </si>
  <si>
    <t>Release results to all teams and open the next period in one action.</t>
  </si>
  <si>
    <t>T-11</t>
  </si>
  <si>
    <t>Re-run and audit log</t>
  </si>
  <si>
    <t>Correct an input and re-run before or after publishing, with a log of every change.</t>
  </si>
  <si>
    <t>T-12</t>
  </si>
  <si>
    <t>Export all teams to Excel</t>
  </si>
  <si>
    <t>All decisions and results for every team (replaces 'Cartel Results P#.xlsx').</t>
  </si>
  <si>
    <t>T-13</t>
  </si>
  <si>
    <t>Scoring</t>
  </si>
  <si>
    <t>Scoring settings</t>
  </si>
  <si>
    <t>View and edit P/E weights and scoring tables; resolve the discrepancies between the two legacy scoring files.</t>
  </si>
  <si>
    <t>T-14</t>
  </si>
  <si>
    <t>Shock preview</t>
  </si>
  <si>
    <t>Before publishing, see how the actuals move each team vs a no-surprise quarter, the spread between best and worst, and who moves most.</t>
  </si>
  <si>
    <t>T-15</t>
  </si>
  <si>
    <t>Monitoring</t>
  </si>
  <si>
    <t>Team drill-down</t>
  </si>
  <si>
    <t>Open any team's decisions, results and history, for coaching and defense questioning.</t>
  </si>
  <si>
    <t>T-16</t>
  </si>
  <si>
    <t>Speculation flags</t>
  </si>
  <si>
    <t>Flag large non-core gains, oil futures beyond usage, over-hedging and big unhedged bets.</t>
  </si>
  <si>
    <t>T-17</t>
  </si>
  <si>
    <t>Late submissions and overrides</t>
  </si>
  <si>
    <t>Extend a deadline per team, carry forward the last decision, or adjust with a recorded note.</t>
  </si>
  <si>
    <t>T-18</t>
  </si>
  <si>
    <t>Class analytics</t>
  </si>
  <si>
    <t>Distribution of scores and common mistakes (tax rate, hedge cover, overdrafts) across teams and periods.</t>
  </si>
  <si>
    <t>T-19</t>
  </si>
  <si>
    <t>Market scenario library</t>
  </si>
  <si>
    <t>Save and reuse market paths across semesters (for example a yen shock or a rate spike).</t>
  </si>
  <si>
    <t>T-20</t>
  </si>
  <si>
    <t>Communication</t>
  </si>
  <si>
    <t>Announcements</t>
  </si>
  <si>
    <t>Broadcast messages and deadline reminders to all teams.</t>
  </si>
  <si>
    <t>T-21</t>
  </si>
  <si>
    <t>TA and co-instructor roles</t>
  </si>
  <si>
    <t>Permissions for TAs (view, monitor) vs instructors (edit market data, run, publish).</t>
  </si>
  <si>
    <t>T-22</t>
  </si>
  <si>
    <t>Grading</t>
  </si>
  <si>
    <t>Grading and gradebook</t>
  </si>
  <si>
    <t>Defense and biennial report rubrics, peer evaluation, gradebook export.</t>
  </si>
  <si>
    <t>T-23</t>
  </si>
  <si>
    <t>Integration</t>
  </si>
  <si>
    <t>LMS and single sign-on</t>
  </si>
  <si>
    <t>Canvas/Blackboard (LTI) roster and grade sync; university SSO.</t>
  </si>
  <si>
    <t>T-24</t>
  </si>
  <si>
    <t>Market path generator</t>
  </si>
  <si>
    <t>Generate realistic period-by-period market data with set volatility, then edit.</t>
  </si>
  <si>
    <t>T-25</t>
  </si>
  <si>
    <t>Results night mode</t>
  </si>
  <si>
    <t>Full-screen leaderboard reveal for class (the 'results posted at the Pub' moment).</t>
  </si>
  <si>
    <t>T-26</t>
  </si>
  <si>
    <t>Administration</t>
  </si>
  <si>
    <t>Multi-school licensing</t>
  </si>
  <si>
    <t>Institution accounts, course provisioning and usage reporting for licensing FORAD to other schools.</t>
  </si>
  <si>
    <t>FORAD redesign · Platform (shared) features</t>
  </si>
  <si>
    <t>Engine and infrastructure that both student and teacher features depend on.</t>
  </si>
  <si>
    <t>P-01</t>
  </si>
  <si>
    <t>Simulation engine</t>
  </si>
  <si>
    <t>Port the FORAD 2.0 engine</t>
  </si>
  <si>
    <t>Re-implement the VB6 logic (operations, cash timing, interest, FX, tax gross-up, consolidation, scoring) exactly, as one engine used by projections, stress tests and the period run.</t>
  </si>
  <si>
    <t>P-02</t>
  </si>
  <si>
    <t>Golden-file verification</t>
  </si>
  <si>
    <t>Run legacy Assumptions.txt + DecisionsT#P#.txt through the new engine and match FORAD 2.0 outputs line by line before launch.</t>
  </si>
  <si>
    <t>P-03</t>
  </si>
  <si>
    <t>Rules</t>
  </si>
  <si>
    <t>Confirm open rules</t>
  </si>
  <si>
    <t>Confirm with the professor: EPS annualization (×4 or not), scoring-table discrepancies, dividend growth/cut tables kept in the .exe, rounding.</t>
  </si>
  <si>
    <t>P-04</t>
  </si>
  <si>
    <t>Legal</t>
  </si>
  <si>
    <t>Licensing clearance</t>
  </si>
  <si>
    <t>Confirm rights to rebuild and use the model with Prof. Remmers / Tower46.</t>
  </si>
  <si>
    <t>P-05</t>
  </si>
  <si>
    <t>Infrastructure</t>
  </si>
  <si>
    <t>Web app, any device</t>
  </si>
  <si>
    <t>Browser-based; no Windows install, no Boot Camp or Parallels for Mac users.</t>
  </si>
  <si>
    <t>P-06</t>
  </si>
  <si>
    <t>Accounts and roles</t>
  </si>
  <si>
    <t>Student, teacher, TA, admin roles with secure sign-in.</t>
  </si>
  <si>
    <t>P-07</t>
  </si>
  <si>
    <t>Data model and audit trail</t>
  </si>
  <si>
    <t>Course → period → team → decision versions → results; every change recorded.</t>
  </si>
  <si>
    <t>P-08</t>
  </si>
  <si>
    <t>Legacy file import</t>
  </si>
  <si>
    <t>Import Assumptions.txt and decision files for migration and testing.</t>
  </si>
  <si>
    <t>P-09</t>
  </si>
  <si>
    <t>Security, privacy, backups</t>
  </si>
  <si>
    <t>Student-data privacy (FERPA), daily backups, uptime during decision deadlines.</t>
  </si>
  <si>
    <t>P-10</t>
  </si>
  <si>
    <t>Performance</t>
  </si>
  <si>
    <t>Recalculate a projection instantly and run 20 teams × 7 stress scenarios in under a few seconds.</t>
  </si>
  <si>
    <t>P-11</t>
  </si>
  <si>
    <t>Accessibility</t>
  </si>
  <si>
    <t>Keyboard navigation, screen-reader labels, colour contrast (WCAG 2.1 AA).</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</si>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</sst>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16"/>
      <name val="Arial"/>
      <charset val="1"/>
    </font>
    <font>
      <i/>
      <sz val="10"/>
      <color rgb="FF556070"/>
      <name val="Arial"/>
      <charset val="1"/>
    </font>
    <font>
      <b/>
      <sz val="11"/>
      <color rgb="FFFFFFFF"/>
      <name val="Arial"/>
      <charset val="1"/>
    </font>
    <font>
      <b/>
      <sz val="10"/>
      <name val="Arial"/>
      <charset val="1"/>
    </font>
    <font>
      <sz val="10"/>
      <name val="Arial"/>
      <charset val="1"/>
    </font>
    <font>
      <b/>
      <sz val="11"/>
      <name val="Arial"/>
      <charset val="1"/>
    </font>
    <font>
      <b/>
      <sz val="14"/>
      <name val="Arial"/>
      <charset val="1"/>
    </font>
    <font>
      <b/>
      <sz val="14"/>
      <name val="Arial"/>
    </font>
    <font>
      <i/>
      <sz val="10"/>
      <color rgb="FF556070"/>
      <name val="Arial"/>
    </font>
    <font>
      <sz val="10"/>
      <color rgb="FF556070"/>
      <name val="Arial"/>
    </font>
    <font>
      <b/>
      <sz val="11"/>
      <color rgb="FFFFFFFF"/>
      <name val="Arial"/>
    </font>
    <font>
      <sz val="10"/>
      <name val="Arial"/>
    </font>
    <font>
      <b/>
      <sz val="10"/>
      <name val="Arial"/>
    </font>
    <font>
      <b/>
      <sz val="14"/>
      <name val="Arial"/>
      <family val="2"/>
    </font>
  </fonts>
  <fills count="13">
    <fill>
      <patternFill patternType="none"/>
    </fill>
    <fill>
      <patternFill patternType="gray125"/>
    </fill>
    <fill>
      <patternFill patternType="solid">
        <fgColor rgb="FF0E1726"/>
        <bgColor rgb="FF000000"/>
      </patternFill>
    </fill>
    <fill>
      <patternFill patternType="solid">
        <fgColor rgb="FFDCE6FB"/>
        <bgColor rgb="FFE4F3EC"/>
      </patternFill>
    </fill>
    <fill>
      <patternFill patternType="solid">
        <fgColor rgb="FFE4F3EC"/>
        <bgColor rgb="FFF3ECE0"/>
      </patternFill>
    </fill>
    <fill>
      <patternFill patternType="solid">
        <fgColor rgb="FFF3ECE0"/>
        <bgColor rgb="FFE4F3EC"/>
      </patternFill>
    </fill>
    <fill>
      <patternFill patternType="solid">
        <fgColor rgb="FF0E1726"/>
      </patternFill>
    </fill>
    <fill>
      <patternFill patternType="solid">
        <fgColor rgb="FFDCE6FB"/>
      </patternFill>
    </fill>
    <fill>
      <patternFill patternType="solid">
        <fgColor rgb="FFFFFFFF"/>
      </patternFill>
    </fill>
    <fill>
      <patternFill patternType="solid">
        <fgColor rgb="FFF7F7F7"/>
      </patternFill>
    </fill>
    <fill>
      <patternFill patternType="solid">
        <fgColor rgb="FFE4F3EC"/>
      </patternFill>
    </fill>
    <fill>
      <patternFill patternType="solid">
        <fgColor rgb="FFF3ECE0"/>
      </patternFill>
    </fill>
    <fill>
      <patternFill patternType="solid">
        <fgColor rgb="FFFDECEC"/>
      </patternFill>
    </fill>
  </fills>
  <borders count="3">
    <border>
      <left/>
      <right/>
      <top/>
      <bottom/>
      <diagonal/>
    </border>
    <border>
      <left style="thin">
        <color rgb="FFD5DBE3"/>
      </left>
      <right style="thin">
        <color rgb="FFD5DBE3"/>
      </right>
      <top style="thin">
        <color rgb="FFD5DBE3"/>
      </top>
      <bottom style="thin">
        <color rgb="FFD5DBE3"/>
      </bottom>
      <diagonal/>
    </border>
    <border>
      <left style="thin">
        <color rgb="FFD5DBE3"/>
      </left>
      <right style="thin">
        <color rgb="FFD5DBE3"/>
      </right>
      <top style="thin">
        <color rgb="FFD5DBE3"/>
      </top>
      <bottom style="thin">
        <color rgb="FFD5DBE3"/>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4" fillId="3" borderId="1" xfId="0" applyFont="1" applyFill="1" applyBorder="1" applyAlignment="1">
      <alignment vertical="top" wrapText="1"/>
    </xf>
    <xf numFmtId="0" fontId="5" fillId="0" borderId="1" xfId="0" applyFont="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6" fillId="0" borderId="0" xfId="0" applyFont="1"/>
    <xf numFmtId="0" fontId="6" fillId="0" borderId="1" xfId="0" applyFont="1" applyBorder="1"/>
    <xf numFmtId="0" fontId="4" fillId="0" borderId="0" xfId="0" applyFont="1"/>
    <xf numFmtId="0" fontId="5" fillId="0" borderId="0" xfId="0" applyFont="1"/>
    <xf numFmtId="0" fontId="7" fillId="0" borderId="0" xfId="0" applyFont="1"/>
    <xf numFmtId="0" fontId="4" fillId="0" borderId="1" xfId="0" applyFont="1" applyBorder="1" applyAlignment="1">
      <alignment vertical="top" wrapText="1"/>
    </xf>
    <xf numFmtId="0" fontId="8" fillId="0" borderId="0" xfId="0" applyFont="1"/>
    <xf numFmtId="0" fontId="9" fillId="0" borderId="0" xfId="0" applyFont="1"/>
    <xf numFmtId="0" fontId="10" fillId="0" borderId="0" xfId="0" applyFont="1"/>
    <xf numFmtId="0" fontId="11" fillId="6" borderId="2" xfId="0" applyFont="1" applyFill="1" applyBorder="1" applyAlignment="1">
      <alignment vertical="center" wrapText="1"/>
    </xf>
    <xf numFmtId="0" fontId="12" fillId="0" borderId="2" xfId="0" applyFont="1" applyBorder="1" applyAlignment="1">
      <alignment vertical="top" wrapText="1"/>
    </xf>
    <xf numFmtId="0" fontId="13" fillId="0" borderId="2" xfId="0" applyFont="1" applyBorder="1" applyAlignment="1">
      <alignment vertical="top" wrapText="1"/>
    </xf>
    <xf numFmtId="0" fontId="12" fillId="7" borderId="2" xfId="0" applyFont="1" applyFill="1" applyBorder="1" applyAlignment="1">
      <alignment vertical="top" wrapText="1"/>
    </xf>
    <xf numFmtId="0" fontId="12" fillId="8" borderId="2" xfId="0" applyFont="1" applyFill="1" applyBorder="1" applyAlignment="1">
      <alignment vertical="top" wrapText="1"/>
    </xf>
    <xf numFmtId="0" fontId="12" fillId="9" borderId="2" xfId="0" applyFont="1" applyFill="1" applyBorder="1" applyAlignment="1">
      <alignment vertical="top" wrapText="1"/>
    </xf>
    <xf numFmtId="0" fontId="12" fillId="10" borderId="2" xfId="0" applyFont="1" applyFill="1" applyBorder="1" applyAlignment="1">
      <alignment vertical="top" wrapText="1"/>
    </xf>
    <xf numFmtId="0" fontId="12" fillId="11" borderId="2" xfId="0" applyFont="1" applyFill="1" applyBorder="1" applyAlignment="1">
      <alignment vertical="top" wrapText="1"/>
    </xf>
    <xf numFmtId="0" fontId="12" fillId="12" borderId="2" xfId="0" applyFont="1" applyFill="1" applyBorder="1" applyAlignment="1">
      <alignment vertical="top" wrapText="1"/>
    </xf>
    <xf numFmtId="0" fontId="14" fillId="0" borderId="0" xfId="0" applyFont="1"/>
  </cellXfs>
  <cellStyles count="1">
    <cellStyle name="Normal" xfId="0" builtinId="0"/>
  </cellStyles>
  <dxfs count="9">
    <dxf>
      <fill>
        <patternFill>
          <bgColor rgb="FFF3ECE0"/>
        </patternFill>
      </fill>
    </dxf>
    <dxf>
      <fill>
        <patternFill>
          <bgColor rgb="FFE4F3EC"/>
        </patternFill>
      </fill>
    </dxf>
    <dxf>
      <fill>
        <patternFill>
          <bgColor rgb="FFDCE6FB"/>
        </patternFill>
      </fill>
    </dxf>
    <dxf>
      <fill>
        <patternFill>
          <bgColor rgb="FFF3ECE0"/>
        </patternFill>
      </fill>
    </dxf>
    <dxf>
      <fill>
        <patternFill>
          <bgColor rgb="FFE4F3EC"/>
        </patternFill>
      </fill>
    </dxf>
    <dxf>
      <fill>
        <patternFill>
          <bgColor rgb="FFDCE6FB"/>
        </patternFill>
      </fill>
    </dxf>
    <dxf>
      <fill>
        <patternFill>
          <bgColor rgb="FFF3ECE0"/>
        </patternFill>
      </fill>
    </dxf>
    <dxf>
      <fill>
        <patternFill>
          <bgColor rgb="FFE4F3EC"/>
        </patternFill>
      </fill>
    </dxf>
    <dxf>
      <fill>
        <patternFill>
          <bgColor rgb="FFDCE6FB"/>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ECE0"/>
      <rgbColor rgb="FFE4F3EC"/>
      <rgbColor rgb="FF660066"/>
      <rgbColor rgb="FFFF8080"/>
      <rgbColor rgb="FF0066CC"/>
      <rgbColor rgb="FFD5DBE3"/>
      <rgbColor rgb="FF000080"/>
      <rgbColor rgb="FFFF00FF"/>
      <rgbColor rgb="FFFFFF00"/>
      <rgbColor rgb="FF00FFFF"/>
      <rgbColor rgb="FF800080"/>
      <rgbColor rgb="FF800000"/>
      <rgbColor rgb="FF008080"/>
      <rgbColor rgb="FF0000FF"/>
      <rgbColor rgb="FF00CCFF"/>
      <rgbColor rgb="FFDCE6FB"/>
      <rgbColor rgb="FFCCFFCC"/>
      <rgbColor rgb="FFFFFF99"/>
      <rgbColor rgb="FF99CCFF"/>
      <rgbColor rgb="FFFF99CC"/>
      <rgbColor rgb="FFCC99FF"/>
      <rgbColor rgb="FFFFCC99"/>
      <rgbColor rgb="FF3366FF"/>
      <rgbColor rgb="FF33CCCC"/>
      <rgbColor rgb="FF99CC00"/>
      <rgbColor rgb="FFFFCC00"/>
      <rgbColor rgb="FFFF9900"/>
      <rgbColor rgb="FFFF6600"/>
      <rgbColor rgb="FF556070"/>
      <rgbColor rgb="FF969696"/>
      <rgbColor rgb="FF003366"/>
      <rgbColor rgb="FF339966"/>
      <rgbColor rgb="FF0E1726"/>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zoomScaleNormal="100" workbookViewId="0"/>
  </sheetViews>
  <sheetFormatPr baseColWidth="10" defaultColWidth="8.6640625" defaultRowHeight="15" x14ac:dyDescent="0.2"/>
  <cols>
    <col min="1" max="1" width="26" customWidth="1"/>
    <col min="2" max="3" width="58" customWidth="1"/>
    <col min="4" max="6" width="11" customWidth="1"/>
    <col min="7" max="7" width="9" customWidth="1"/>
  </cols>
  <sheetData>
    <row r="1" spans="1:7" ht="19.75" customHeight="1" x14ac:dyDescent="0.2">
      <c r="A1" s="1" t="s">
        <v>0</v>
      </c>
    </row>
    <row r="2" spans="1:7" ht="15" customHeight="1" x14ac:dyDescent="0.2">
      <c r="A2" s="2" t="s">
        <v>1</v>
      </c>
    </row>
    <row r="4" spans="1:7" ht="15" customHeight="1" x14ac:dyDescent="0.2">
      <c r="A4" s="3" t="s">
        <v>2</v>
      </c>
      <c r="B4" s="3" t="s">
        <v>3</v>
      </c>
      <c r="C4" s="3" t="s">
        <v>4</v>
      </c>
      <c r="D4" s="3" t="s">
        <v>5</v>
      </c>
      <c r="E4" s="3" t="s">
        <v>6</v>
      </c>
      <c r="F4" s="3" t="s">
        <v>7</v>
      </c>
      <c r="G4" s="3" t="s">
        <v>8</v>
      </c>
    </row>
    <row r="5" spans="1:7" ht="48" customHeight="1" x14ac:dyDescent="0.2">
      <c r="A5" s="4" t="s">
        <v>9</v>
      </c>
      <c r="B5" s="5" t="s">
        <v>10</v>
      </c>
      <c r="C5" s="5" t="s">
        <v>11</v>
      </c>
      <c r="D5" s="5">
        <f>COUNTIF(Students!$E$5:$E$40,A5)</f>
        <v>18</v>
      </c>
      <c r="E5" s="5">
        <f>COUNTIF(Teachers!$E$5:$E$30,A5)</f>
        <v>13</v>
      </c>
      <c r="F5" s="5">
        <f>COUNTIF('Platform (shared)'!$E$5:$E$15,A5)</f>
        <v>9</v>
      </c>
      <c r="G5" s="5">
        <f>SUM(D5:F5)</f>
        <v>40</v>
      </c>
    </row>
    <row r="6" spans="1:7" ht="48" customHeight="1" x14ac:dyDescent="0.2">
      <c r="A6" s="6" t="s">
        <v>12</v>
      </c>
      <c r="B6" s="5" t="s">
        <v>13</v>
      </c>
      <c r="C6" s="5" t="s">
        <v>14</v>
      </c>
      <c r="D6" s="5">
        <f>COUNTIF(Students!$E$5:$E$40,A6)</f>
        <v>13</v>
      </c>
      <c r="E6" s="5">
        <f>COUNTIF(Teachers!$E$5:$E$30,A6)</f>
        <v>8</v>
      </c>
      <c r="F6" s="5">
        <f>COUNTIF('Platform (shared)'!$E$5:$E$15,A6)</f>
        <v>2</v>
      </c>
      <c r="G6" s="5">
        <f>SUM(D6:F6)</f>
        <v>23</v>
      </c>
    </row>
    <row r="7" spans="1:7" ht="48" customHeight="1" x14ac:dyDescent="0.2">
      <c r="A7" s="7" t="s">
        <v>15</v>
      </c>
      <c r="B7" s="5" t="s">
        <v>16</v>
      </c>
      <c r="C7" s="5" t="s">
        <v>17</v>
      </c>
      <c r="D7" s="5">
        <f>COUNTIF(Students!$E$5:$E$40,A7)</f>
        <v>5</v>
      </c>
      <c r="E7" s="5">
        <f>COUNTIF(Teachers!$E$5:$E$30,A7)</f>
        <v>5</v>
      </c>
      <c r="F7" s="5">
        <f>COUNTIF('Platform (shared)'!$E$5:$E$15,A7)</f>
        <v>0</v>
      </c>
      <c r="G7" s="5">
        <f>SUM(D7:F7)</f>
        <v>10</v>
      </c>
    </row>
    <row r="8" spans="1:7" ht="15" customHeight="1" x14ac:dyDescent="0.2">
      <c r="A8" s="8" t="s">
        <v>8</v>
      </c>
      <c r="D8" s="9">
        <f>SUM(D5:D7)</f>
        <v>36</v>
      </c>
      <c r="E8" s="9">
        <f>SUM(E5:E7)</f>
        <v>26</v>
      </c>
      <c r="F8" s="9">
        <f>SUM(F5:F7)</f>
        <v>11</v>
      </c>
      <c r="G8" s="9">
        <f>SUM(G5:G7)</f>
        <v>73</v>
      </c>
    </row>
    <row r="10" spans="1:7" ht="15" customHeight="1" x14ac:dyDescent="0.2">
      <c r="A10" s="8" t="s">
        <v>18</v>
      </c>
      <c r="D10" s="8">
        <f>COUNTIFS(Students!$E$5:$E$40,A5,Students!$F$5:$F$40,"Must")</f>
        <v>17</v>
      </c>
      <c r="E10" s="8">
        <f>COUNTIFS(Teachers!$E$5:$E$30,A5,Teachers!$F$5:$F$30,"Must")</f>
        <v>11</v>
      </c>
      <c r="F10" s="8">
        <f>COUNTIFS('Platform (shared)'!$E$5:$E$15,A5,'Platform (shared)'!$F$5:$F$15,"Must")</f>
        <v>8</v>
      </c>
      <c r="G10" s="8">
        <f>SUM(D10:F10)</f>
        <v>36</v>
      </c>
    </row>
    <row r="12" spans="1:7" ht="15" customHeight="1" x14ac:dyDescent="0.2">
      <c r="A12" s="10" t="s">
        <v>19</v>
      </c>
    </row>
    <row r="13" spans="1:7" ht="15" customHeight="1" x14ac:dyDescent="0.2">
      <c r="A13" s="11" t="s">
        <v>20</v>
      </c>
    </row>
    <row r="14" spans="1:7" ht="15" customHeight="1" x14ac:dyDescent="0.2">
      <c r="A14" s="11" t="s">
        <v>21</v>
      </c>
    </row>
    <row r="15" spans="1:7" ht="15" customHeight="1" x14ac:dyDescent="0.2">
      <c r="A15" s="11" t="s">
        <v>22</v>
      </c>
    </row>
    <row r="16" spans="1:7" ht="15" customHeight="1" x14ac:dyDescent="0.2">
      <c r="A16" s="11" t="s">
        <v>23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
  <sheetViews>
    <sheetView zoomScaleNormal="100" workbookViewId="0">
      <pane xSplit="3" ySplit="4" topLeftCell="D20" activePane="bottomRight" state="frozen"/>
      <selection pane="topRight" activeCell="D1" sqref="D1"/>
      <selection pane="bottomLeft" activeCell="A5" sqref="A5"/>
      <selection pane="bottomRight"/>
    </sheetView>
  </sheetViews>
  <sheetFormatPr baseColWidth="10" defaultColWidth="8.6640625" defaultRowHeight="15" x14ac:dyDescent="0.2"/>
  <cols>
    <col min="1" max="1" width="8" customWidth="1"/>
    <col min="2" max="2" width="18" customWidth="1"/>
    <col min="3" max="3" width="30" customWidth="1"/>
    <col min="4" max="4" width="80" customWidth="1"/>
    <col min="5" max="5" width="24" customWidth="1"/>
    <col min="6" max="6" width="10" customWidth="1"/>
    <col min="7" max="7" width="22" customWidth="1"/>
  </cols>
  <sheetData>
    <row r="1" spans="1:7" ht="17.25" customHeight="1" x14ac:dyDescent="0.2">
      <c r="A1" s="12" t="s">
        <v>24</v>
      </c>
    </row>
    <row r="2" spans="1:7" ht="15" customHeight="1" x14ac:dyDescent="0.2">
      <c r="A2" s="2" t="s">
        <v>25</v>
      </c>
    </row>
    <row r="4" spans="1:7" ht="15" customHeight="1" x14ac:dyDescent="0.2">
      <c r="A4" s="3" t="s">
        <v>26</v>
      </c>
      <c r="B4" s="3" t="s">
        <v>27</v>
      </c>
      <c r="C4" s="3" t="s">
        <v>28</v>
      </c>
      <c r="D4" s="3" t="s">
        <v>29</v>
      </c>
      <c r="E4" s="3" t="s">
        <v>2</v>
      </c>
      <c r="F4" s="3" t="s">
        <v>30</v>
      </c>
      <c r="G4" s="3" t="s">
        <v>31</v>
      </c>
    </row>
    <row r="5" spans="1:7" ht="23.75" customHeight="1" x14ac:dyDescent="0.2">
      <c r="A5" s="5" t="s">
        <v>32</v>
      </c>
      <c r="B5" s="5" t="s">
        <v>33</v>
      </c>
      <c r="C5" s="13" t="s">
        <v>34</v>
      </c>
      <c r="D5" s="5" t="s">
        <v>35</v>
      </c>
      <c r="E5" s="5" t="s">
        <v>9</v>
      </c>
      <c r="F5" s="5" t="s">
        <v>36</v>
      </c>
      <c r="G5" s="5" t="s">
        <v>37</v>
      </c>
    </row>
    <row r="6" spans="1:7" ht="23.75" customHeight="1" x14ac:dyDescent="0.2">
      <c r="A6" s="5" t="s">
        <v>38</v>
      </c>
      <c r="B6" s="5" t="s">
        <v>39</v>
      </c>
      <c r="C6" s="13" t="s">
        <v>40</v>
      </c>
      <c r="D6" s="5" t="s">
        <v>41</v>
      </c>
      <c r="E6" s="5" t="s">
        <v>9</v>
      </c>
      <c r="F6" s="5" t="s">
        <v>36</v>
      </c>
      <c r="G6" s="5" t="s">
        <v>42</v>
      </c>
    </row>
    <row r="7" spans="1:7" ht="35" customHeight="1" x14ac:dyDescent="0.2">
      <c r="A7" s="5" t="s">
        <v>43</v>
      </c>
      <c r="B7" s="5" t="s">
        <v>44</v>
      </c>
      <c r="C7" s="13" t="s">
        <v>45</v>
      </c>
      <c r="D7" s="5" t="s">
        <v>46</v>
      </c>
      <c r="E7" s="5" t="s">
        <v>9</v>
      </c>
      <c r="F7" s="5" t="s">
        <v>36</v>
      </c>
      <c r="G7" s="5" t="s">
        <v>42</v>
      </c>
    </row>
    <row r="8" spans="1:7" ht="23.75" customHeight="1" x14ac:dyDescent="0.2">
      <c r="A8" s="5" t="s">
        <v>47</v>
      </c>
      <c r="B8" s="5" t="s">
        <v>48</v>
      </c>
      <c r="C8" s="13" t="s">
        <v>49</v>
      </c>
      <c r="D8" s="5" t="s">
        <v>50</v>
      </c>
      <c r="E8" s="5" t="s">
        <v>9</v>
      </c>
      <c r="F8" s="5" t="s">
        <v>36</v>
      </c>
      <c r="G8" s="5" t="s">
        <v>42</v>
      </c>
    </row>
    <row r="9" spans="1:7" ht="23.75" customHeight="1" x14ac:dyDescent="0.2">
      <c r="A9" s="5" t="s">
        <v>51</v>
      </c>
      <c r="B9" s="5" t="s">
        <v>48</v>
      </c>
      <c r="C9" s="13" t="s">
        <v>52</v>
      </c>
      <c r="D9" s="5" t="s">
        <v>53</v>
      </c>
      <c r="E9" s="5" t="s">
        <v>9</v>
      </c>
      <c r="F9" s="5" t="s">
        <v>36</v>
      </c>
      <c r="G9" s="5" t="s">
        <v>54</v>
      </c>
    </row>
    <row r="10" spans="1:7" ht="168" x14ac:dyDescent="0.2">
      <c r="A10" s="5" t="s">
        <v>55</v>
      </c>
      <c r="B10" s="5" t="s">
        <v>48</v>
      </c>
      <c r="C10" s="13" t="s">
        <v>56</v>
      </c>
      <c r="D10" s="5" t="s">
        <v>57</v>
      </c>
      <c r="E10" s="5" t="s">
        <v>9</v>
      </c>
      <c r="F10" s="5" t="s">
        <v>36</v>
      </c>
      <c r="G10" s="5" t="s">
        <v>54</v>
      </c>
    </row>
    <row r="11" spans="1:7" ht="23.75" customHeight="1" x14ac:dyDescent="0.2">
      <c r="A11" s="5" t="s">
        <v>58</v>
      </c>
      <c r="B11" s="5" t="s">
        <v>48</v>
      </c>
      <c r="C11" s="13" t="s">
        <v>59</v>
      </c>
      <c r="D11" s="5" t="s">
        <v>60</v>
      </c>
      <c r="E11" s="5" t="s">
        <v>9</v>
      </c>
      <c r="F11" s="5" t="s">
        <v>36</v>
      </c>
      <c r="G11" s="5" t="s">
        <v>54</v>
      </c>
    </row>
    <row r="12" spans="1:7" ht="23.75" customHeight="1" x14ac:dyDescent="0.2">
      <c r="A12" s="5" t="s">
        <v>61</v>
      </c>
      <c r="B12" s="5" t="s">
        <v>48</v>
      </c>
      <c r="C12" s="13" t="s">
        <v>62</v>
      </c>
      <c r="D12" s="5" t="s">
        <v>63</v>
      </c>
      <c r="E12" s="5" t="s">
        <v>9</v>
      </c>
      <c r="F12" s="5" t="s">
        <v>36</v>
      </c>
      <c r="G12" s="5" t="s">
        <v>54</v>
      </c>
    </row>
    <row r="13" spans="1:7" ht="23.75" customHeight="1" x14ac:dyDescent="0.2">
      <c r="A13" s="5" t="s">
        <v>64</v>
      </c>
      <c r="B13" s="5" t="s">
        <v>48</v>
      </c>
      <c r="C13" s="13" t="s">
        <v>65</v>
      </c>
      <c r="D13" s="5" t="s">
        <v>66</v>
      </c>
      <c r="E13" s="5" t="s">
        <v>9</v>
      </c>
      <c r="F13" s="5" t="s">
        <v>36</v>
      </c>
      <c r="G13" s="5" t="s">
        <v>54</v>
      </c>
    </row>
    <row r="14" spans="1:7" ht="23.75" customHeight="1" x14ac:dyDescent="0.2">
      <c r="A14" s="5" t="s">
        <v>67</v>
      </c>
      <c r="B14" s="5" t="s">
        <v>48</v>
      </c>
      <c r="C14" s="13" t="s">
        <v>68</v>
      </c>
      <c r="D14" s="5" t="s">
        <v>69</v>
      </c>
      <c r="E14" s="5" t="s">
        <v>9</v>
      </c>
      <c r="F14" s="5" t="s">
        <v>36</v>
      </c>
      <c r="G14" s="5" t="s">
        <v>54</v>
      </c>
    </row>
    <row r="15" spans="1:7" ht="23.75" customHeight="1" x14ac:dyDescent="0.2">
      <c r="A15" s="5" t="s">
        <v>70</v>
      </c>
      <c r="B15" s="5" t="s">
        <v>48</v>
      </c>
      <c r="C15" s="13" t="s">
        <v>71</v>
      </c>
      <c r="D15" s="5" t="s">
        <v>72</v>
      </c>
      <c r="E15" s="5" t="s">
        <v>9</v>
      </c>
      <c r="F15" s="5" t="s">
        <v>36</v>
      </c>
      <c r="G15" s="5" t="s">
        <v>42</v>
      </c>
    </row>
    <row r="16" spans="1:7" ht="23.75" customHeight="1" x14ac:dyDescent="0.2">
      <c r="A16" s="5" t="s">
        <v>73</v>
      </c>
      <c r="B16" s="5" t="s">
        <v>74</v>
      </c>
      <c r="C16" s="13" t="s">
        <v>75</v>
      </c>
      <c r="D16" s="5" t="s">
        <v>76</v>
      </c>
      <c r="E16" s="5" t="s">
        <v>9</v>
      </c>
      <c r="F16" s="5" t="s">
        <v>36</v>
      </c>
      <c r="G16" s="5" t="s">
        <v>42</v>
      </c>
    </row>
    <row r="17" spans="1:7" ht="15" customHeight="1" x14ac:dyDescent="0.2">
      <c r="A17" s="5" t="s">
        <v>77</v>
      </c>
      <c r="B17" s="5" t="s">
        <v>74</v>
      </c>
      <c r="C17" s="13" t="s">
        <v>78</v>
      </c>
      <c r="D17" s="5" t="s">
        <v>79</v>
      </c>
      <c r="E17" s="5" t="s">
        <v>9</v>
      </c>
      <c r="F17" s="5" t="s">
        <v>36</v>
      </c>
      <c r="G17" s="5" t="s">
        <v>54</v>
      </c>
    </row>
    <row r="18" spans="1:7" ht="23.75" customHeight="1" x14ac:dyDescent="0.2">
      <c r="A18" s="5" t="s">
        <v>80</v>
      </c>
      <c r="B18" s="5" t="s">
        <v>48</v>
      </c>
      <c r="C18" s="13" t="s">
        <v>81</v>
      </c>
      <c r="D18" s="5" t="s">
        <v>82</v>
      </c>
      <c r="E18" s="5" t="s">
        <v>9</v>
      </c>
      <c r="F18" s="5" t="s">
        <v>36</v>
      </c>
      <c r="G18" s="5" t="s">
        <v>42</v>
      </c>
    </row>
    <row r="19" spans="1:7" ht="23.75" customHeight="1" x14ac:dyDescent="0.2">
      <c r="A19" s="5" t="s">
        <v>83</v>
      </c>
      <c r="B19" s="5" t="s">
        <v>48</v>
      </c>
      <c r="C19" s="13" t="s">
        <v>84</v>
      </c>
      <c r="D19" s="5" t="s">
        <v>85</v>
      </c>
      <c r="E19" s="5" t="s">
        <v>9</v>
      </c>
      <c r="F19" s="5" t="s">
        <v>36</v>
      </c>
      <c r="G19" s="5" t="s">
        <v>42</v>
      </c>
    </row>
    <row r="20" spans="1:7" ht="35" customHeight="1" x14ac:dyDescent="0.2">
      <c r="A20" s="5" t="s">
        <v>86</v>
      </c>
      <c r="B20" s="5" t="s">
        <v>87</v>
      </c>
      <c r="C20" s="13" t="s">
        <v>88</v>
      </c>
      <c r="D20" s="5" t="s">
        <v>89</v>
      </c>
      <c r="E20" s="5" t="s">
        <v>9</v>
      </c>
      <c r="F20" s="5" t="s">
        <v>36</v>
      </c>
      <c r="G20" s="5" t="s">
        <v>42</v>
      </c>
    </row>
    <row r="21" spans="1:7" ht="23.75" customHeight="1" x14ac:dyDescent="0.2">
      <c r="A21" s="5" t="s">
        <v>90</v>
      </c>
      <c r="B21" s="5" t="s">
        <v>87</v>
      </c>
      <c r="C21" s="13" t="s">
        <v>91</v>
      </c>
      <c r="D21" s="5" t="s">
        <v>92</v>
      </c>
      <c r="E21" s="5" t="s">
        <v>9</v>
      </c>
      <c r="F21" s="5" t="s">
        <v>36</v>
      </c>
      <c r="G21" s="5" t="s">
        <v>42</v>
      </c>
    </row>
    <row r="22" spans="1:7" ht="15" customHeight="1" x14ac:dyDescent="0.2">
      <c r="A22" s="5" t="s">
        <v>93</v>
      </c>
      <c r="B22" s="5" t="s">
        <v>87</v>
      </c>
      <c r="C22" s="13" t="s">
        <v>94</v>
      </c>
      <c r="D22" s="5" t="s">
        <v>95</v>
      </c>
      <c r="E22" s="5" t="s">
        <v>9</v>
      </c>
      <c r="F22" s="5" t="s">
        <v>96</v>
      </c>
      <c r="G22" s="5" t="s">
        <v>54</v>
      </c>
    </row>
    <row r="23" spans="1:7" ht="23.75" customHeight="1" x14ac:dyDescent="0.2">
      <c r="A23" s="5" t="s">
        <v>97</v>
      </c>
      <c r="B23" s="5" t="s">
        <v>98</v>
      </c>
      <c r="C23" s="13" t="s">
        <v>99</v>
      </c>
      <c r="D23" s="5" t="s">
        <v>100</v>
      </c>
      <c r="E23" s="5" t="s">
        <v>12</v>
      </c>
      <c r="F23" s="5" t="s">
        <v>36</v>
      </c>
      <c r="G23" s="5" t="s">
        <v>37</v>
      </c>
    </row>
    <row r="24" spans="1:7" ht="35" customHeight="1" x14ac:dyDescent="0.2">
      <c r="A24" s="5" t="s">
        <v>101</v>
      </c>
      <c r="B24" s="5" t="s">
        <v>102</v>
      </c>
      <c r="C24" s="13" t="s">
        <v>103</v>
      </c>
      <c r="D24" s="5" t="s">
        <v>104</v>
      </c>
      <c r="E24" s="5" t="s">
        <v>12</v>
      </c>
      <c r="F24" s="5" t="s">
        <v>36</v>
      </c>
      <c r="G24" s="5" t="s">
        <v>37</v>
      </c>
    </row>
    <row r="25" spans="1:7" ht="23.75" customHeight="1" x14ac:dyDescent="0.2">
      <c r="A25" s="5" t="s">
        <v>105</v>
      </c>
      <c r="B25" s="5" t="s">
        <v>102</v>
      </c>
      <c r="C25" s="13" t="s">
        <v>106</v>
      </c>
      <c r="D25" s="5" t="s">
        <v>107</v>
      </c>
      <c r="E25" s="5" t="s">
        <v>12</v>
      </c>
      <c r="F25" s="5" t="s">
        <v>36</v>
      </c>
      <c r="G25" s="5" t="s">
        <v>37</v>
      </c>
    </row>
    <row r="26" spans="1:7" ht="23.75" customHeight="1" x14ac:dyDescent="0.2">
      <c r="A26" s="5" t="s">
        <v>108</v>
      </c>
      <c r="B26" s="5" t="s">
        <v>102</v>
      </c>
      <c r="C26" s="13" t="s">
        <v>109</v>
      </c>
      <c r="D26" s="5" t="s">
        <v>110</v>
      </c>
      <c r="E26" s="5" t="s">
        <v>12</v>
      </c>
      <c r="F26" s="5" t="s">
        <v>96</v>
      </c>
      <c r="G26" s="5" t="s">
        <v>42</v>
      </c>
    </row>
    <row r="27" spans="1:7" ht="23.75" customHeight="1" x14ac:dyDescent="0.2">
      <c r="A27" s="5" t="s">
        <v>111</v>
      </c>
      <c r="B27" s="5" t="s">
        <v>98</v>
      </c>
      <c r="C27" s="13" t="s">
        <v>112</v>
      </c>
      <c r="D27" s="5" t="s">
        <v>113</v>
      </c>
      <c r="E27" s="5" t="s">
        <v>12</v>
      </c>
      <c r="F27" s="5" t="s">
        <v>36</v>
      </c>
      <c r="G27" s="5" t="s">
        <v>37</v>
      </c>
    </row>
    <row r="28" spans="1:7" ht="15" customHeight="1" x14ac:dyDescent="0.2">
      <c r="A28" s="5" t="s">
        <v>114</v>
      </c>
      <c r="B28" s="5" t="s">
        <v>74</v>
      </c>
      <c r="C28" s="13" t="s">
        <v>115</v>
      </c>
      <c r="D28" s="5" t="s">
        <v>116</v>
      </c>
      <c r="E28" s="5" t="s">
        <v>12</v>
      </c>
      <c r="F28" s="5" t="s">
        <v>96</v>
      </c>
      <c r="G28" s="5" t="s">
        <v>37</v>
      </c>
    </row>
    <row r="29" spans="1:7" ht="23.75" customHeight="1" x14ac:dyDescent="0.2">
      <c r="A29" s="5" t="s">
        <v>117</v>
      </c>
      <c r="B29" s="5" t="s">
        <v>87</v>
      </c>
      <c r="C29" s="13" t="s">
        <v>118</v>
      </c>
      <c r="D29" s="5" t="s">
        <v>119</v>
      </c>
      <c r="E29" s="5" t="s">
        <v>12</v>
      </c>
      <c r="F29" s="5" t="s">
        <v>96</v>
      </c>
      <c r="G29" s="5" t="s">
        <v>37</v>
      </c>
    </row>
    <row r="30" spans="1:7" ht="15" customHeight="1" x14ac:dyDescent="0.2">
      <c r="A30" s="5" t="s">
        <v>120</v>
      </c>
      <c r="B30" s="5" t="s">
        <v>87</v>
      </c>
      <c r="C30" s="13" t="s">
        <v>121</v>
      </c>
      <c r="D30" s="5" t="s">
        <v>122</v>
      </c>
      <c r="E30" s="5" t="s">
        <v>12</v>
      </c>
      <c r="F30" s="5" t="s">
        <v>96</v>
      </c>
      <c r="G30" s="5" t="s">
        <v>42</v>
      </c>
    </row>
    <row r="31" spans="1:7" ht="23.75" customHeight="1" x14ac:dyDescent="0.2">
      <c r="A31" s="5" t="s">
        <v>123</v>
      </c>
      <c r="B31" s="5" t="s">
        <v>124</v>
      </c>
      <c r="C31" s="13" t="s">
        <v>125</v>
      </c>
      <c r="D31" s="5" t="s">
        <v>126</v>
      </c>
      <c r="E31" s="5" t="s">
        <v>12</v>
      </c>
      <c r="F31" s="5" t="s">
        <v>96</v>
      </c>
      <c r="G31" s="5" t="s">
        <v>37</v>
      </c>
    </row>
    <row r="32" spans="1:7" ht="23.75" customHeight="1" x14ac:dyDescent="0.2">
      <c r="A32" s="5" t="s">
        <v>127</v>
      </c>
      <c r="B32" s="5" t="s">
        <v>98</v>
      </c>
      <c r="C32" s="13" t="s">
        <v>128</v>
      </c>
      <c r="D32" s="5" t="s">
        <v>129</v>
      </c>
      <c r="E32" s="5" t="s">
        <v>12</v>
      </c>
      <c r="F32" s="5" t="s">
        <v>96</v>
      </c>
      <c r="G32" s="5" t="s">
        <v>37</v>
      </c>
    </row>
    <row r="33" spans="1:7" ht="15" customHeight="1" x14ac:dyDescent="0.2">
      <c r="A33" s="5" t="s">
        <v>130</v>
      </c>
      <c r="B33" s="5" t="s">
        <v>48</v>
      </c>
      <c r="C33" s="13" t="s">
        <v>131</v>
      </c>
      <c r="D33" s="5" t="s">
        <v>132</v>
      </c>
      <c r="E33" s="5" t="s">
        <v>12</v>
      </c>
      <c r="F33" s="5" t="s">
        <v>133</v>
      </c>
      <c r="G33" s="5" t="s">
        <v>42</v>
      </c>
    </row>
    <row r="34" spans="1:7" ht="23.75" customHeight="1" x14ac:dyDescent="0.2">
      <c r="A34" s="5" t="s">
        <v>134</v>
      </c>
      <c r="B34" s="5" t="s">
        <v>135</v>
      </c>
      <c r="C34" s="13" t="s">
        <v>136</v>
      </c>
      <c r="D34" s="5" t="s">
        <v>137</v>
      </c>
      <c r="E34" s="5" t="s">
        <v>12</v>
      </c>
      <c r="F34" s="5" t="s">
        <v>96</v>
      </c>
      <c r="G34" s="5" t="s">
        <v>42</v>
      </c>
    </row>
    <row r="35" spans="1:7" ht="15" customHeight="1" x14ac:dyDescent="0.2">
      <c r="A35" s="5" t="s">
        <v>138</v>
      </c>
      <c r="B35" s="5" t="s">
        <v>139</v>
      </c>
      <c r="C35" s="13" t="s">
        <v>140</v>
      </c>
      <c r="D35" s="5" t="s">
        <v>141</v>
      </c>
      <c r="E35" s="5" t="s">
        <v>12</v>
      </c>
      <c r="F35" s="5" t="s">
        <v>96</v>
      </c>
      <c r="G35" s="5" t="s">
        <v>37</v>
      </c>
    </row>
    <row r="36" spans="1:7" ht="15" customHeight="1" x14ac:dyDescent="0.2">
      <c r="A36" s="5" t="s">
        <v>142</v>
      </c>
      <c r="B36" s="5" t="s">
        <v>143</v>
      </c>
      <c r="C36" s="13" t="s">
        <v>144</v>
      </c>
      <c r="D36" s="5" t="s">
        <v>145</v>
      </c>
      <c r="E36" s="5" t="s">
        <v>15</v>
      </c>
      <c r="F36" s="5" t="s">
        <v>133</v>
      </c>
      <c r="G36" s="5" t="s">
        <v>37</v>
      </c>
    </row>
    <row r="37" spans="1:7" ht="15" customHeight="1" x14ac:dyDescent="0.2">
      <c r="A37" s="5" t="s">
        <v>146</v>
      </c>
      <c r="B37" s="5" t="s">
        <v>147</v>
      </c>
      <c r="C37" s="13" t="s">
        <v>148</v>
      </c>
      <c r="D37" s="5" t="s">
        <v>149</v>
      </c>
      <c r="E37" s="5" t="s">
        <v>15</v>
      </c>
      <c r="F37" s="5" t="s">
        <v>133</v>
      </c>
      <c r="G37" s="5" t="s">
        <v>37</v>
      </c>
    </row>
    <row r="38" spans="1:7" ht="15" customHeight="1" x14ac:dyDescent="0.2">
      <c r="A38" s="5" t="s">
        <v>150</v>
      </c>
      <c r="B38" s="5" t="s">
        <v>98</v>
      </c>
      <c r="C38" s="13" t="s">
        <v>151</v>
      </c>
      <c r="D38" s="5" t="s">
        <v>152</v>
      </c>
      <c r="E38" s="5" t="s">
        <v>15</v>
      </c>
      <c r="F38" s="5" t="s">
        <v>133</v>
      </c>
      <c r="G38" s="5" t="s">
        <v>37</v>
      </c>
    </row>
    <row r="39" spans="1:7" ht="15" customHeight="1" x14ac:dyDescent="0.2">
      <c r="A39" s="5" t="s">
        <v>153</v>
      </c>
      <c r="B39" s="5" t="s">
        <v>98</v>
      </c>
      <c r="C39" s="13" t="s">
        <v>154</v>
      </c>
      <c r="D39" s="5" t="s">
        <v>155</v>
      </c>
      <c r="E39" s="5" t="s">
        <v>15</v>
      </c>
      <c r="F39" s="5" t="s">
        <v>133</v>
      </c>
      <c r="G39" s="5" t="s">
        <v>42</v>
      </c>
    </row>
    <row r="40" spans="1:7" ht="15" customHeight="1" x14ac:dyDescent="0.2">
      <c r="A40" s="5" t="s">
        <v>156</v>
      </c>
      <c r="B40" s="5" t="s">
        <v>33</v>
      </c>
      <c r="C40" s="13" t="s">
        <v>157</v>
      </c>
      <c r="D40" s="5" t="s">
        <v>158</v>
      </c>
      <c r="E40" s="5" t="s">
        <v>15</v>
      </c>
      <c r="F40" s="5" t="s">
        <v>133</v>
      </c>
      <c r="G40" s="5" t="s">
        <v>37</v>
      </c>
    </row>
  </sheetData>
  <autoFilter ref="A4:G40" xr:uid="{00000000-0009-0000-0000-000001000000}"/>
  <conditionalFormatting sqref="E5:E40">
    <cfRule type="expression" dxfId="8" priority="2">
      <formula>$E5="Phase 1 – MVP"</formula>
    </cfRule>
    <cfRule type="expression" dxfId="7" priority="3">
      <formula>$E5="Phase 2 – Guided learning"</formula>
    </cfRule>
    <cfRule type="expression" dxfId="6" priority="4">
      <formula>$E5="Phase 3 – Scale &amp; enrich"</formula>
    </cfRule>
  </conditionalFormatting>
  <dataValidations count="2">
    <dataValidation type="list" sqref="E5:E40" xr:uid="{00000000-0002-0000-0100-000000000000}">
      <formula1>"Phase 1 – MVP,Phase 2 – Guided learning,Phase 3 – Scale &amp; enrich"</formula1>
      <formula2>0</formula2>
    </dataValidation>
    <dataValidation type="list" sqref="F5:F40" xr:uid="{00000000-0002-0000-0100-000001000000}">
      <formula1>"Must,Should,Could"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workbookViewId="0">
      <pane xSplit="4" ySplit="5" topLeftCell="E6" activePane="bottomRight" state="frozen"/>
      <selection pane="topRight"/>
      <selection pane="bottomLeft"/>
      <selection pane="bottomRight"/>
    </sheetView>
  </sheetViews>
  <sheetFormatPr baseColWidth="10" defaultColWidth="8.83203125" defaultRowHeight="15" x14ac:dyDescent="0.2"/>
  <cols>
    <col min="1" max="1" width="5" customWidth="1"/>
    <col min="2" max="2" width="13" customWidth="1"/>
    <col min="3" max="3" width="15" customWidth="1"/>
    <col min="4" max="4" width="28" customWidth="1"/>
    <col min="5" max="5" width="14" customWidth="1"/>
    <col min="6" max="6" width="46" customWidth="1"/>
    <col min="7" max="7" width="20" customWidth="1"/>
    <col min="8" max="8" width="36" customWidth="1"/>
    <col min="9" max="9" width="10" customWidth="1"/>
    <col min="10" max="10" width="36" customWidth="1"/>
  </cols>
  <sheetData>
    <row r="1" spans="1:10" ht="18" x14ac:dyDescent="0.2">
      <c r="A1" s="14" t="s">
        <v>159</v>
      </c>
    </row>
    <row r="2" spans="1:10" x14ac:dyDescent="0.2">
      <c r="A2" s="15" t="s">
        <v>160</v>
      </c>
    </row>
    <row r="3" spans="1:10" x14ac:dyDescent="0.2">
      <c r="A3" s="16" t="s">
        <v>161</v>
      </c>
    </row>
    <row r="5" spans="1:10" x14ac:dyDescent="0.2">
      <c r="A5" s="17" t="s">
        <v>162</v>
      </c>
      <c r="B5" s="17" t="s">
        <v>163</v>
      </c>
      <c r="C5" s="17" t="s">
        <v>164</v>
      </c>
      <c r="D5" s="17" t="s">
        <v>165</v>
      </c>
      <c r="E5" s="17" t="s">
        <v>166</v>
      </c>
      <c r="F5" s="17" t="s">
        <v>167</v>
      </c>
      <c r="G5" s="17" t="s">
        <v>168</v>
      </c>
      <c r="H5" s="17" t="s">
        <v>169</v>
      </c>
      <c r="I5" s="17" t="s">
        <v>170</v>
      </c>
      <c r="J5" s="17" t="s">
        <v>171</v>
      </c>
    </row>
    <row r="6" spans="1:10" ht="84" x14ac:dyDescent="0.2">
      <c r="A6" s="18">
        <v>1</v>
      </c>
      <c r="B6" s="18" t="s">
        <v>172</v>
      </c>
      <c r="C6" s="18" t="s">
        <v>173</v>
      </c>
      <c r="D6" s="19" t="s">
        <v>174</v>
      </c>
      <c r="E6" s="20" t="s">
        <v>175</v>
      </c>
      <c r="F6" s="18" t="s">
        <v>176</v>
      </c>
      <c r="G6" s="18" t="s">
        <v>177</v>
      </c>
      <c r="H6" s="18" t="s">
        <v>178</v>
      </c>
      <c r="I6" s="18" t="s">
        <v>179</v>
      </c>
      <c r="J6" s="18" t="s">
        <v>180</v>
      </c>
    </row>
    <row r="7" spans="1:10" ht="42" x14ac:dyDescent="0.2">
      <c r="A7" s="18">
        <v>2</v>
      </c>
      <c r="B7" s="18" t="s">
        <v>172</v>
      </c>
      <c r="C7" s="18" t="s">
        <v>181</v>
      </c>
      <c r="D7" s="19" t="s">
        <v>182</v>
      </c>
      <c r="E7" s="20" t="s">
        <v>175</v>
      </c>
      <c r="F7" s="18" t="s">
        <v>183</v>
      </c>
      <c r="G7" s="18" t="s">
        <v>184</v>
      </c>
      <c r="H7" s="18" t="s">
        <v>185</v>
      </c>
      <c r="I7" s="18" t="s">
        <v>186</v>
      </c>
      <c r="J7" s="18" t="s">
        <v>187</v>
      </c>
    </row>
    <row r="8" spans="1:10" ht="28" x14ac:dyDescent="0.2">
      <c r="A8" s="18">
        <v>3</v>
      </c>
      <c r="B8" s="18" t="s">
        <v>172</v>
      </c>
      <c r="C8" s="18" t="s">
        <v>181</v>
      </c>
      <c r="D8" s="19" t="s">
        <v>188</v>
      </c>
      <c r="E8" s="21" t="s">
        <v>189</v>
      </c>
      <c r="F8" s="18" t="s">
        <v>190</v>
      </c>
      <c r="G8" s="18" t="s">
        <v>191</v>
      </c>
      <c r="H8" s="18" t="s">
        <v>192</v>
      </c>
      <c r="I8" s="18" t="s">
        <v>193</v>
      </c>
      <c r="J8" s="18"/>
    </row>
    <row r="9" spans="1:10" ht="42" x14ac:dyDescent="0.2">
      <c r="A9" s="18">
        <v>4</v>
      </c>
      <c r="B9" s="18" t="s">
        <v>172</v>
      </c>
      <c r="C9" s="18" t="s">
        <v>181</v>
      </c>
      <c r="D9" s="19" t="s">
        <v>194</v>
      </c>
      <c r="E9" s="21" t="s">
        <v>189</v>
      </c>
      <c r="F9" s="18" t="s">
        <v>195</v>
      </c>
      <c r="G9" s="18" t="s">
        <v>192</v>
      </c>
      <c r="H9" s="18" t="s">
        <v>192</v>
      </c>
      <c r="I9" s="18" t="s">
        <v>196</v>
      </c>
      <c r="J9" s="18" t="s">
        <v>197</v>
      </c>
    </row>
    <row r="10" spans="1:10" ht="28" x14ac:dyDescent="0.2">
      <c r="A10" s="18">
        <v>5</v>
      </c>
      <c r="B10" s="18" t="s">
        <v>172</v>
      </c>
      <c r="C10" s="18" t="s">
        <v>181</v>
      </c>
      <c r="D10" s="19" t="s">
        <v>198</v>
      </c>
      <c r="E10" s="21" t="s">
        <v>189</v>
      </c>
      <c r="F10" s="18" t="s">
        <v>199</v>
      </c>
      <c r="G10" s="18" t="s">
        <v>192</v>
      </c>
      <c r="H10" s="18" t="s">
        <v>200</v>
      </c>
      <c r="I10" s="18" t="s">
        <v>193</v>
      </c>
      <c r="J10" s="18" t="s">
        <v>201</v>
      </c>
    </row>
    <row r="11" spans="1:10" ht="28" x14ac:dyDescent="0.2">
      <c r="A11" s="18">
        <v>6</v>
      </c>
      <c r="B11" s="18" t="s">
        <v>172</v>
      </c>
      <c r="C11" s="18" t="s">
        <v>181</v>
      </c>
      <c r="D11" s="19" t="s">
        <v>202</v>
      </c>
      <c r="E11" s="21" t="s">
        <v>189</v>
      </c>
      <c r="F11" s="18" t="s">
        <v>203</v>
      </c>
      <c r="G11" s="18" t="s">
        <v>192</v>
      </c>
      <c r="H11" s="18" t="s">
        <v>204</v>
      </c>
      <c r="I11" s="18" t="s">
        <v>205</v>
      </c>
      <c r="J11" s="18" t="s">
        <v>206</v>
      </c>
    </row>
    <row r="12" spans="1:10" ht="70" x14ac:dyDescent="0.2">
      <c r="A12" s="18">
        <v>7</v>
      </c>
      <c r="B12" s="18" t="s">
        <v>172</v>
      </c>
      <c r="C12" s="18" t="s">
        <v>181</v>
      </c>
      <c r="D12" s="19" t="s">
        <v>207</v>
      </c>
      <c r="E12" s="21" t="s">
        <v>189</v>
      </c>
      <c r="F12" s="18" t="s">
        <v>208</v>
      </c>
      <c r="G12" s="18" t="s">
        <v>192</v>
      </c>
      <c r="H12" s="18" t="s">
        <v>209</v>
      </c>
      <c r="I12" s="18" t="s">
        <v>193</v>
      </c>
      <c r="J12" s="18" t="s">
        <v>210</v>
      </c>
    </row>
    <row r="13" spans="1:10" ht="28" x14ac:dyDescent="0.2">
      <c r="A13" s="18">
        <v>8</v>
      </c>
      <c r="B13" s="18" t="s">
        <v>172</v>
      </c>
      <c r="C13" s="18" t="s">
        <v>211</v>
      </c>
      <c r="D13" s="19" t="s">
        <v>212</v>
      </c>
      <c r="E13" s="20" t="s">
        <v>175</v>
      </c>
      <c r="F13" s="18" t="s">
        <v>213</v>
      </c>
      <c r="G13" s="18" t="s">
        <v>214</v>
      </c>
      <c r="H13" s="18" t="s">
        <v>215</v>
      </c>
      <c r="I13" s="18" t="s">
        <v>216</v>
      </c>
      <c r="J13" s="18" t="s">
        <v>217</v>
      </c>
    </row>
    <row r="14" spans="1:10" ht="28" x14ac:dyDescent="0.2">
      <c r="A14" s="18">
        <v>9</v>
      </c>
      <c r="B14" s="18" t="s">
        <v>172</v>
      </c>
      <c r="C14" s="18" t="s">
        <v>211</v>
      </c>
      <c r="D14" s="19" t="s">
        <v>218</v>
      </c>
      <c r="E14" s="20" t="s">
        <v>175</v>
      </c>
      <c r="F14" s="18" t="s">
        <v>219</v>
      </c>
      <c r="G14" s="18" t="s">
        <v>214</v>
      </c>
      <c r="H14" s="18" t="s">
        <v>220</v>
      </c>
      <c r="I14" s="18" t="s">
        <v>216</v>
      </c>
      <c r="J14" s="18"/>
    </row>
    <row r="15" spans="1:10" ht="42" x14ac:dyDescent="0.2">
      <c r="A15" s="18">
        <v>10</v>
      </c>
      <c r="B15" s="18" t="s">
        <v>172</v>
      </c>
      <c r="C15" s="18" t="s">
        <v>211</v>
      </c>
      <c r="D15" s="19" t="s">
        <v>221</v>
      </c>
      <c r="E15" s="20" t="s">
        <v>175</v>
      </c>
      <c r="F15" s="18" t="s">
        <v>222</v>
      </c>
      <c r="G15" s="18" t="s">
        <v>223</v>
      </c>
      <c r="H15" s="18" t="s">
        <v>224</v>
      </c>
      <c r="I15" s="18" t="s">
        <v>225</v>
      </c>
      <c r="J15" s="18" t="s">
        <v>226</v>
      </c>
    </row>
    <row r="16" spans="1:10" ht="28" x14ac:dyDescent="0.2">
      <c r="A16" s="18">
        <v>11</v>
      </c>
      <c r="B16" s="18" t="s">
        <v>172</v>
      </c>
      <c r="C16" s="18" t="s">
        <v>227</v>
      </c>
      <c r="D16" s="19" t="s">
        <v>228</v>
      </c>
      <c r="E16" s="20" t="s">
        <v>175</v>
      </c>
      <c r="F16" s="18" t="s">
        <v>229</v>
      </c>
      <c r="G16" s="18" t="s">
        <v>214</v>
      </c>
      <c r="H16" s="18" t="s">
        <v>230</v>
      </c>
      <c r="I16" s="18" t="s">
        <v>193</v>
      </c>
      <c r="J16" s="18"/>
    </row>
    <row r="17" spans="1:10" ht="42" x14ac:dyDescent="0.2">
      <c r="A17" s="18">
        <v>12</v>
      </c>
      <c r="B17" s="18" t="s">
        <v>172</v>
      </c>
      <c r="C17" s="18" t="s">
        <v>227</v>
      </c>
      <c r="D17" s="19" t="s">
        <v>231</v>
      </c>
      <c r="E17" s="20" t="s">
        <v>175</v>
      </c>
      <c r="F17" s="18" t="s">
        <v>232</v>
      </c>
      <c r="G17" s="18" t="s">
        <v>214</v>
      </c>
      <c r="H17" s="18" t="s">
        <v>192</v>
      </c>
      <c r="I17" s="18" t="s">
        <v>192</v>
      </c>
      <c r="J17" s="18" t="s">
        <v>233</v>
      </c>
    </row>
    <row r="18" spans="1:10" ht="56" x14ac:dyDescent="0.2">
      <c r="A18" s="18">
        <v>13</v>
      </c>
      <c r="B18" s="18" t="s">
        <v>172</v>
      </c>
      <c r="C18" s="18" t="s">
        <v>234</v>
      </c>
      <c r="D18" s="19" t="s">
        <v>235</v>
      </c>
      <c r="E18" s="20" t="s">
        <v>175</v>
      </c>
      <c r="F18" s="18" t="s">
        <v>236</v>
      </c>
      <c r="G18" s="18" t="s">
        <v>237</v>
      </c>
      <c r="H18" s="18" t="s">
        <v>238</v>
      </c>
      <c r="I18" s="18" t="s">
        <v>239</v>
      </c>
      <c r="J18" s="18" t="s">
        <v>240</v>
      </c>
    </row>
    <row r="19" spans="1:10" ht="42" x14ac:dyDescent="0.2">
      <c r="A19" s="18">
        <v>14</v>
      </c>
      <c r="B19" s="18" t="s">
        <v>172</v>
      </c>
      <c r="C19" s="18" t="s">
        <v>234</v>
      </c>
      <c r="D19" s="19" t="s">
        <v>241</v>
      </c>
      <c r="E19" s="20" t="s">
        <v>175</v>
      </c>
      <c r="F19" s="18" t="s">
        <v>242</v>
      </c>
      <c r="G19" s="18" t="s">
        <v>243</v>
      </c>
      <c r="H19" s="18" t="s">
        <v>244</v>
      </c>
      <c r="I19" s="18" t="s">
        <v>239</v>
      </c>
      <c r="J19" s="18"/>
    </row>
    <row r="20" spans="1:10" ht="42" x14ac:dyDescent="0.2">
      <c r="A20" s="18">
        <v>15</v>
      </c>
      <c r="B20" s="18" t="s">
        <v>172</v>
      </c>
      <c r="C20" s="18" t="s">
        <v>234</v>
      </c>
      <c r="D20" s="19" t="s">
        <v>245</v>
      </c>
      <c r="E20" s="20" t="s">
        <v>175</v>
      </c>
      <c r="F20" s="18" t="s">
        <v>246</v>
      </c>
      <c r="G20" s="18" t="s">
        <v>214</v>
      </c>
      <c r="H20" s="18" t="s">
        <v>247</v>
      </c>
      <c r="I20" s="18" t="s">
        <v>239</v>
      </c>
      <c r="J20" s="18" t="s">
        <v>248</v>
      </c>
    </row>
    <row r="21" spans="1:10" x14ac:dyDescent="0.2">
      <c r="A21" s="18">
        <v>16</v>
      </c>
      <c r="B21" s="18" t="s">
        <v>172</v>
      </c>
      <c r="C21" s="18" t="s">
        <v>234</v>
      </c>
      <c r="D21" s="19" t="s">
        <v>249</v>
      </c>
      <c r="E21" s="21" t="s">
        <v>189</v>
      </c>
      <c r="F21" s="18" t="s">
        <v>250</v>
      </c>
      <c r="G21" s="18" t="s">
        <v>192</v>
      </c>
      <c r="H21" s="18" t="s">
        <v>192</v>
      </c>
      <c r="I21" s="18" t="s">
        <v>251</v>
      </c>
      <c r="J21" s="18"/>
    </row>
    <row r="22" spans="1:10" ht="42" x14ac:dyDescent="0.2">
      <c r="A22" s="18">
        <v>17</v>
      </c>
      <c r="B22" s="18" t="s">
        <v>172</v>
      </c>
      <c r="C22" s="18" t="s">
        <v>252</v>
      </c>
      <c r="D22" s="19" t="s">
        <v>253</v>
      </c>
      <c r="E22" s="20" t="s">
        <v>175</v>
      </c>
      <c r="F22" s="18" t="s">
        <v>254</v>
      </c>
      <c r="G22" s="18" t="s">
        <v>255</v>
      </c>
      <c r="H22" s="18" t="s">
        <v>256</v>
      </c>
      <c r="I22" s="18" t="s">
        <v>257</v>
      </c>
      <c r="J22" s="18" t="s">
        <v>258</v>
      </c>
    </row>
    <row r="23" spans="1:10" ht="28" x14ac:dyDescent="0.2">
      <c r="A23" s="18">
        <v>18</v>
      </c>
      <c r="B23" s="18" t="s">
        <v>172</v>
      </c>
      <c r="C23" s="18" t="s">
        <v>259</v>
      </c>
      <c r="D23" s="19" t="s">
        <v>260</v>
      </c>
      <c r="E23" s="22" t="s">
        <v>261</v>
      </c>
      <c r="F23" s="18" t="s">
        <v>262</v>
      </c>
      <c r="G23" s="18" t="s">
        <v>192</v>
      </c>
      <c r="H23" s="18" t="s">
        <v>263</v>
      </c>
      <c r="I23" s="18" t="s">
        <v>264</v>
      </c>
      <c r="J23" s="18" t="s">
        <v>265</v>
      </c>
    </row>
    <row r="24" spans="1:10" ht="98" x14ac:dyDescent="0.2">
      <c r="A24" s="18">
        <v>19</v>
      </c>
      <c r="B24" s="18" t="s">
        <v>266</v>
      </c>
      <c r="C24" s="18" t="s">
        <v>173</v>
      </c>
      <c r="D24" s="19" t="s">
        <v>174</v>
      </c>
      <c r="E24" s="20" t="s">
        <v>175</v>
      </c>
      <c r="F24" s="18" t="s">
        <v>267</v>
      </c>
      <c r="G24" s="18" t="s">
        <v>268</v>
      </c>
      <c r="H24" s="18" t="s">
        <v>178</v>
      </c>
      <c r="I24" s="18" t="s">
        <v>179</v>
      </c>
      <c r="J24" s="18"/>
    </row>
    <row r="25" spans="1:10" ht="42" x14ac:dyDescent="0.2">
      <c r="A25" s="18">
        <v>20</v>
      </c>
      <c r="B25" s="18" t="s">
        <v>266</v>
      </c>
      <c r="C25" s="18" t="s">
        <v>181</v>
      </c>
      <c r="D25" s="19" t="s">
        <v>182</v>
      </c>
      <c r="E25" s="20" t="s">
        <v>175</v>
      </c>
      <c r="F25" s="18" t="s">
        <v>183</v>
      </c>
      <c r="G25" s="18" t="s">
        <v>269</v>
      </c>
      <c r="H25" s="18" t="s">
        <v>270</v>
      </c>
      <c r="I25" s="18" t="s">
        <v>271</v>
      </c>
      <c r="J25" s="18"/>
    </row>
    <row r="26" spans="1:10" ht="28" x14ac:dyDescent="0.2">
      <c r="A26" s="18">
        <v>21</v>
      </c>
      <c r="B26" s="18" t="s">
        <v>266</v>
      </c>
      <c r="C26" s="18" t="s">
        <v>181</v>
      </c>
      <c r="D26" s="19" t="s">
        <v>188</v>
      </c>
      <c r="E26" s="21" t="s">
        <v>189</v>
      </c>
      <c r="F26" s="18" t="s">
        <v>190</v>
      </c>
      <c r="G26" s="18" t="s">
        <v>272</v>
      </c>
      <c r="H26" s="18" t="s">
        <v>192</v>
      </c>
      <c r="I26" s="18" t="s">
        <v>193</v>
      </c>
      <c r="J26" s="18"/>
    </row>
    <row r="27" spans="1:10" ht="28" x14ac:dyDescent="0.2">
      <c r="A27" s="18">
        <v>22</v>
      </c>
      <c r="B27" s="18" t="s">
        <v>266</v>
      </c>
      <c r="C27" s="18" t="s">
        <v>181</v>
      </c>
      <c r="D27" s="19" t="s">
        <v>194</v>
      </c>
      <c r="E27" s="21" t="s">
        <v>189</v>
      </c>
      <c r="F27" s="18" t="s">
        <v>273</v>
      </c>
      <c r="G27" s="18" t="s">
        <v>192</v>
      </c>
      <c r="H27" s="18" t="s">
        <v>192</v>
      </c>
      <c r="I27" s="18" t="s">
        <v>179</v>
      </c>
      <c r="J27" s="18" t="s">
        <v>274</v>
      </c>
    </row>
    <row r="28" spans="1:10" x14ac:dyDescent="0.2">
      <c r="A28" s="18">
        <v>23</v>
      </c>
      <c r="B28" s="18" t="s">
        <v>266</v>
      </c>
      <c r="C28" s="18" t="s">
        <v>181</v>
      </c>
      <c r="D28" s="19" t="s">
        <v>198</v>
      </c>
      <c r="E28" s="21" t="s">
        <v>189</v>
      </c>
      <c r="F28" s="18" t="s">
        <v>199</v>
      </c>
      <c r="G28" s="18" t="s">
        <v>192</v>
      </c>
      <c r="H28" s="18" t="s">
        <v>192</v>
      </c>
      <c r="I28" s="18" t="s">
        <v>193</v>
      </c>
      <c r="J28" s="18" t="s">
        <v>201</v>
      </c>
    </row>
    <row r="29" spans="1:10" ht="28" x14ac:dyDescent="0.2">
      <c r="A29" s="18">
        <v>24</v>
      </c>
      <c r="B29" s="18" t="s">
        <v>266</v>
      </c>
      <c r="C29" s="18" t="s">
        <v>181</v>
      </c>
      <c r="D29" s="19" t="s">
        <v>202</v>
      </c>
      <c r="E29" s="21" t="s">
        <v>189</v>
      </c>
      <c r="F29" s="18" t="s">
        <v>203</v>
      </c>
      <c r="G29" s="18" t="s">
        <v>192</v>
      </c>
      <c r="H29" s="18" t="s">
        <v>204</v>
      </c>
      <c r="I29" s="18" t="s">
        <v>205</v>
      </c>
      <c r="J29" s="18"/>
    </row>
    <row r="30" spans="1:10" ht="70" x14ac:dyDescent="0.2">
      <c r="A30" s="18">
        <v>25</v>
      </c>
      <c r="B30" s="18" t="s">
        <v>266</v>
      </c>
      <c r="C30" s="18" t="s">
        <v>181</v>
      </c>
      <c r="D30" s="19" t="s">
        <v>207</v>
      </c>
      <c r="E30" s="21" t="s">
        <v>189</v>
      </c>
      <c r="F30" s="18" t="s">
        <v>275</v>
      </c>
      <c r="G30" s="18" t="s">
        <v>192</v>
      </c>
      <c r="H30" s="18" t="s">
        <v>276</v>
      </c>
      <c r="I30" s="18" t="s">
        <v>205</v>
      </c>
      <c r="J30" s="18" t="s">
        <v>277</v>
      </c>
    </row>
    <row r="31" spans="1:10" ht="28" x14ac:dyDescent="0.2">
      <c r="A31" s="18">
        <v>26</v>
      </c>
      <c r="B31" s="18" t="s">
        <v>266</v>
      </c>
      <c r="C31" s="18" t="s">
        <v>211</v>
      </c>
      <c r="D31" s="19" t="s">
        <v>212</v>
      </c>
      <c r="E31" s="20" t="s">
        <v>175</v>
      </c>
      <c r="F31" s="18" t="s">
        <v>213</v>
      </c>
      <c r="G31" s="18" t="s">
        <v>214</v>
      </c>
      <c r="H31" s="18" t="s">
        <v>215</v>
      </c>
      <c r="I31" s="18" t="s">
        <v>225</v>
      </c>
      <c r="J31" s="18"/>
    </row>
    <row r="32" spans="1:10" ht="28" x14ac:dyDescent="0.2">
      <c r="A32" s="18">
        <v>27</v>
      </c>
      <c r="B32" s="18" t="s">
        <v>266</v>
      </c>
      <c r="C32" s="18" t="s">
        <v>211</v>
      </c>
      <c r="D32" s="19" t="s">
        <v>218</v>
      </c>
      <c r="E32" s="20" t="s">
        <v>175</v>
      </c>
      <c r="F32" s="18" t="s">
        <v>219</v>
      </c>
      <c r="G32" s="18" t="s">
        <v>214</v>
      </c>
      <c r="H32" s="18" t="s">
        <v>220</v>
      </c>
      <c r="I32" s="18" t="s">
        <v>225</v>
      </c>
      <c r="J32" s="18"/>
    </row>
    <row r="33" spans="1:10" ht="28" x14ac:dyDescent="0.2">
      <c r="A33" s="18">
        <v>28</v>
      </c>
      <c r="B33" s="18" t="s">
        <v>266</v>
      </c>
      <c r="C33" s="18" t="s">
        <v>211</v>
      </c>
      <c r="D33" s="19" t="s">
        <v>221</v>
      </c>
      <c r="E33" s="20" t="s">
        <v>175</v>
      </c>
      <c r="F33" s="18" t="s">
        <v>278</v>
      </c>
      <c r="G33" s="18" t="s">
        <v>223</v>
      </c>
      <c r="H33" s="18" t="s">
        <v>224</v>
      </c>
      <c r="I33" s="18" t="s">
        <v>225</v>
      </c>
      <c r="J33" s="18"/>
    </row>
    <row r="34" spans="1:10" ht="28" x14ac:dyDescent="0.2">
      <c r="A34" s="18">
        <v>29</v>
      </c>
      <c r="B34" s="18" t="s">
        <v>266</v>
      </c>
      <c r="C34" s="18" t="s">
        <v>227</v>
      </c>
      <c r="D34" s="19" t="s">
        <v>228</v>
      </c>
      <c r="E34" s="20" t="s">
        <v>175</v>
      </c>
      <c r="F34" s="18" t="s">
        <v>229</v>
      </c>
      <c r="G34" s="18" t="s">
        <v>214</v>
      </c>
      <c r="H34" s="18" t="s">
        <v>279</v>
      </c>
      <c r="I34" s="18" t="s">
        <v>239</v>
      </c>
      <c r="J34" s="18"/>
    </row>
    <row r="35" spans="1:10" ht="28" x14ac:dyDescent="0.2">
      <c r="A35" s="18">
        <v>30</v>
      </c>
      <c r="B35" s="18" t="s">
        <v>266</v>
      </c>
      <c r="C35" s="18" t="s">
        <v>227</v>
      </c>
      <c r="D35" s="19" t="s">
        <v>280</v>
      </c>
      <c r="E35" s="20" t="s">
        <v>175</v>
      </c>
      <c r="F35" s="18" t="s">
        <v>281</v>
      </c>
      <c r="G35" s="18" t="s">
        <v>214</v>
      </c>
      <c r="H35" s="18" t="s">
        <v>282</v>
      </c>
      <c r="I35" s="18" t="s">
        <v>239</v>
      </c>
      <c r="J35" s="18"/>
    </row>
    <row r="36" spans="1:10" ht="28" x14ac:dyDescent="0.2">
      <c r="A36" s="18">
        <v>31</v>
      </c>
      <c r="B36" s="18" t="s">
        <v>266</v>
      </c>
      <c r="C36" s="18" t="s">
        <v>227</v>
      </c>
      <c r="D36" s="19" t="s">
        <v>283</v>
      </c>
      <c r="E36" s="23" t="s">
        <v>284</v>
      </c>
      <c r="F36" s="18" t="s">
        <v>285</v>
      </c>
      <c r="G36" s="18" t="s">
        <v>192</v>
      </c>
      <c r="H36" s="18" t="s">
        <v>286</v>
      </c>
      <c r="I36" s="18" t="s">
        <v>287</v>
      </c>
      <c r="J36" s="18" t="s">
        <v>288</v>
      </c>
    </row>
    <row r="37" spans="1:10" ht="28" x14ac:dyDescent="0.2">
      <c r="A37" s="18">
        <v>32</v>
      </c>
      <c r="B37" s="18" t="s">
        <v>266</v>
      </c>
      <c r="C37" s="18" t="s">
        <v>234</v>
      </c>
      <c r="D37" s="19" t="s">
        <v>289</v>
      </c>
      <c r="E37" s="21" t="s">
        <v>189</v>
      </c>
      <c r="F37" s="18" t="s">
        <v>290</v>
      </c>
      <c r="G37" s="18" t="s">
        <v>192</v>
      </c>
      <c r="H37" s="18" t="s">
        <v>291</v>
      </c>
      <c r="I37" s="18" t="s">
        <v>239</v>
      </c>
      <c r="J37" s="18" t="s">
        <v>292</v>
      </c>
    </row>
    <row r="38" spans="1:10" ht="42" x14ac:dyDescent="0.2">
      <c r="A38" s="18">
        <v>33</v>
      </c>
      <c r="B38" s="18" t="s">
        <v>266</v>
      </c>
      <c r="C38" s="18" t="s">
        <v>252</v>
      </c>
      <c r="D38" s="19" t="s">
        <v>293</v>
      </c>
      <c r="E38" s="20" t="s">
        <v>175</v>
      </c>
      <c r="F38" s="18" t="s">
        <v>294</v>
      </c>
      <c r="G38" s="18" t="s">
        <v>255</v>
      </c>
      <c r="H38" s="18" t="s">
        <v>295</v>
      </c>
      <c r="I38" s="18" t="s">
        <v>296</v>
      </c>
      <c r="J38" s="18" t="s">
        <v>258</v>
      </c>
    </row>
    <row r="39" spans="1:10" x14ac:dyDescent="0.2">
      <c r="A39" s="18">
        <v>34</v>
      </c>
      <c r="B39" s="18" t="s">
        <v>266</v>
      </c>
      <c r="C39" s="18" t="s">
        <v>297</v>
      </c>
      <c r="D39" s="19" t="s">
        <v>298</v>
      </c>
      <c r="E39" s="24" t="s">
        <v>299</v>
      </c>
      <c r="F39" s="18" t="s">
        <v>300</v>
      </c>
      <c r="G39" s="18" t="s">
        <v>301</v>
      </c>
      <c r="H39" s="18" t="s">
        <v>192</v>
      </c>
      <c r="I39" s="18" t="s">
        <v>302</v>
      </c>
      <c r="J39" s="18"/>
    </row>
    <row r="40" spans="1:10" ht="56" x14ac:dyDescent="0.2">
      <c r="A40" s="18">
        <v>35</v>
      </c>
      <c r="B40" s="18" t="s">
        <v>266</v>
      </c>
      <c r="C40" s="18" t="s">
        <v>297</v>
      </c>
      <c r="D40" s="19" t="s">
        <v>303</v>
      </c>
      <c r="E40" s="21" t="s">
        <v>189</v>
      </c>
      <c r="F40" s="18" t="s">
        <v>304</v>
      </c>
      <c r="G40" s="18" t="s">
        <v>192</v>
      </c>
      <c r="H40" s="18" t="s">
        <v>192</v>
      </c>
      <c r="I40" s="18" t="s">
        <v>305</v>
      </c>
      <c r="J40" s="18"/>
    </row>
    <row r="41" spans="1:10" ht="42" x14ac:dyDescent="0.2">
      <c r="A41" s="18">
        <v>36</v>
      </c>
      <c r="B41" s="18" t="s">
        <v>266</v>
      </c>
      <c r="C41" s="18" t="s">
        <v>297</v>
      </c>
      <c r="D41" s="19" t="s">
        <v>306</v>
      </c>
      <c r="E41" s="21" t="s">
        <v>189</v>
      </c>
      <c r="F41" s="18" t="s">
        <v>307</v>
      </c>
      <c r="G41" s="18" t="s">
        <v>192</v>
      </c>
      <c r="H41" s="18" t="s">
        <v>192</v>
      </c>
      <c r="I41" s="18" t="s">
        <v>305</v>
      </c>
      <c r="J41" s="18"/>
    </row>
    <row r="42" spans="1:10" ht="56" x14ac:dyDescent="0.2">
      <c r="A42" s="18">
        <v>37</v>
      </c>
      <c r="B42" s="18" t="s">
        <v>266</v>
      </c>
      <c r="C42" s="18" t="s">
        <v>297</v>
      </c>
      <c r="D42" s="19" t="s">
        <v>308</v>
      </c>
      <c r="E42" s="20" t="s">
        <v>175</v>
      </c>
      <c r="F42" s="18" t="s">
        <v>309</v>
      </c>
      <c r="G42" s="18" t="s">
        <v>310</v>
      </c>
      <c r="H42" s="18" t="s">
        <v>311</v>
      </c>
      <c r="I42" s="18" t="s">
        <v>305</v>
      </c>
      <c r="J42" s="18" t="s">
        <v>312</v>
      </c>
    </row>
    <row r="43" spans="1:10" ht="28" x14ac:dyDescent="0.2">
      <c r="A43" s="18">
        <v>38</v>
      </c>
      <c r="B43" s="18" t="s">
        <v>313</v>
      </c>
      <c r="C43" s="18" t="s">
        <v>192</v>
      </c>
      <c r="D43" s="19" t="s">
        <v>314</v>
      </c>
      <c r="E43" s="23" t="s">
        <v>284</v>
      </c>
      <c r="F43" s="18" t="s">
        <v>315</v>
      </c>
      <c r="G43" s="18" t="s">
        <v>192</v>
      </c>
      <c r="H43" s="18" t="s">
        <v>192</v>
      </c>
      <c r="I43" s="18" t="s">
        <v>316</v>
      </c>
      <c r="J43" s="18" t="s">
        <v>317</v>
      </c>
    </row>
    <row r="44" spans="1:10" ht="70" x14ac:dyDescent="0.2">
      <c r="A44" s="18">
        <v>39</v>
      </c>
      <c r="B44" s="18" t="s">
        <v>318</v>
      </c>
      <c r="C44" s="18" t="s">
        <v>319</v>
      </c>
      <c r="D44" s="19" t="s">
        <v>320</v>
      </c>
      <c r="E44" s="23" t="s">
        <v>284</v>
      </c>
      <c r="F44" s="18" t="s">
        <v>321</v>
      </c>
      <c r="G44" s="18" t="s">
        <v>192</v>
      </c>
      <c r="H44" s="18" t="s">
        <v>192</v>
      </c>
      <c r="I44" s="18" t="s">
        <v>316</v>
      </c>
      <c r="J44" s="18" t="s">
        <v>322</v>
      </c>
    </row>
    <row r="45" spans="1:10" ht="42" x14ac:dyDescent="0.2">
      <c r="A45" s="18">
        <v>40</v>
      </c>
      <c r="B45" s="18" t="s">
        <v>318</v>
      </c>
      <c r="C45" s="18" t="s">
        <v>319</v>
      </c>
      <c r="D45" s="19" t="s">
        <v>323</v>
      </c>
      <c r="E45" s="23" t="s">
        <v>284</v>
      </c>
      <c r="F45" s="18" t="s">
        <v>324</v>
      </c>
      <c r="G45" s="18" t="s">
        <v>192</v>
      </c>
      <c r="H45" s="18" t="s">
        <v>325</v>
      </c>
      <c r="I45" s="18" t="s">
        <v>326</v>
      </c>
      <c r="J45" s="18" t="s">
        <v>327</v>
      </c>
    </row>
    <row r="46" spans="1:10" ht="56" x14ac:dyDescent="0.2">
      <c r="A46" s="18">
        <v>41</v>
      </c>
      <c r="B46" s="18" t="s">
        <v>318</v>
      </c>
      <c r="C46" s="18" t="s">
        <v>328</v>
      </c>
      <c r="D46" s="19" t="s">
        <v>329</v>
      </c>
      <c r="E46" s="23" t="s">
        <v>284</v>
      </c>
      <c r="F46" s="18" t="s">
        <v>330</v>
      </c>
      <c r="G46" s="18" t="s">
        <v>192</v>
      </c>
      <c r="H46" s="18" t="s">
        <v>192</v>
      </c>
      <c r="I46" s="18" t="s">
        <v>331</v>
      </c>
      <c r="J46" s="18" t="s">
        <v>332</v>
      </c>
    </row>
    <row r="47" spans="1:10" ht="28" x14ac:dyDescent="0.2">
      <c r="A47" s="18">
        <v>42</v>
      </c>
      <c r="B47" s="18" t="s">
        <v>318</v>
      </c>
      <c r="C47" s="18" t="s">
        <v>333</v>
      </c>
      <c r="D47" s="19" t="s">
        <v>334</v>
      </c>
      <c r="E47" s="23" t="s">
        <v>284</v>
      </c>
      <c r="F47" s="18" t="s">
        <v>335</v>
      </c>
      <c r="G47" s="18" t="s">
        <v>192</v>
      </c>
      <c r="H47" s="18" t="s">
        <v>192</v>
      </c>
      <c r="I47" s="18" t="s">
        <v>192</v>
      </c>
      <c r="J47" s="18" t="s">
        <v>336</v>
      </c>
    </row>
    <row r="48" spans="1:10" ht="70" x14ac:dyDescent="0.2">
      <c r="A48" s="18">
        <v>43</v>
      </c>
      <c r="B48" s="18" t="s">
        <v>337</v>
      </c>
      <c r="C48" s="18" t="s">
        <v>192</v>
      </c>
      <c r="D48" s="19" t="s">
        <v>338</v>
      </c>
      <c r="E48" s="25" t="s">
        <v>337</v>
      </c>
      <c r="F48" s="18"/>
      <c r="G48" s="18"/>
      <c r="H48" s="18"/>
      <c r="I48" s="18"/>
      <c r="J48" s="18" t="s">
        <v>339</v>
      </c>
    </row>
    <row r="49" spans="1:10" ht="70" x14ac:dyDescent="0.2">
      <c r="A49" s="18">
        <v>44</v>
      </c>
      <c r="B49" s="18" t="s">
        <v>337</v>
      </c>
      <c r="C49" s="18" t="s">
        <v>192</v>
      </c>
      <c r="D49" s="19" t="s">
        <v>340</v>
      </c>
      <c r="E49" s="25" t="s">
        <v>337</v>
      </c>
      <c r="F49" s="18"/>
      <c r="G49" s="18"/>
      <c r="H49" s="18"/>
      <c r="I49" s="18"/>
      <c r="J49" s="18" t="s">
        <v>339</v>
      </c>
    </row>
    <row r="50" spans="1:10" ht="112" x14ac:dyDescent="0.2">
      <c r="A50" s="18">
        <v>45</v>
      </c>
      <c r="B50" s="18" t="s">
        <v>337</v>
      </c>
      <c r="C50" s="18" t="s">
        <v>192</v>
      </c>
      <c r="D50" s="19" t="s">
        <v>341</v>
      </c>
      <c r="E50" s="25" t="s">
        <v>337</v>
      </c>
      <c r="F50" s="18"/>
      <c r="G50" s="18"/>
      <c r="H50" s="18"/>
      <c r="I50" s="18"/>
      <c r="J50" s="18" t="s">
        <v>339</v>
      </c>
    </row>
    <row r="51" spans="1:10" ht="56" x14ac:dyDescent="0.2">
      <c r="A51" s="18">
        <v>46</v>
      </c>
      <c r="B51" s="18" t="s">
        <v>337</v>
      </c>
      <c r="C51" s="18" t="s">
        <v>192</v>
      </c>
      <c r="D51" s="19" t="s">
        <v>342</v>
      </c>
      <c r="E51" s="25" t="s">
        <v>337</v>
      </c>
      <c r="F51" s="18"/>
      <c r="G51" s="18"/>
      <c r="H51" s="18"/>
      <c r="I51" s="18"/>
      <c r="J51" s="18" t="s">
        <v>339</v>
      </c>
    </row>
    <row r="52" spans="1:10" ht="56" x14ac:dyDescent="0.2">
      <c r="A52" s="18">
        <v>47</v>
      </c>
      <c r="B52" s="18" t="s">
        <v>337</v>
      </c>
      <c r="C52" s="18" t="s">
        <v>192</v>
      </c>
      <c r="D52" s="19" t="s">
        <v>343</v>
      </c>
      <c r="E52" s="25" t="s">
        <v>337</v>
      </c>
      <c r="F52" s="18"/>
      <c r="G52" s="18"/>
      <c r="H52" s="18"/>
      <c r="I52" s="18"/>
      <c r="J52" s="18" t="s">
        <v>339</v>
      </c>
    </row>
    <row r="53" spans="1:10" ht="70" x14ac:dyDescent="0.2">
      <c r="A53" s="18">
        <v>48</v>
      </c>
      <c r="B53" s="18" t="s">
        <v>337</v>
      </c>
      <c r="C53" s="18" t="s">
        <v>192</v>
      </c>
      <c r="D53" s="19" t="s">
        <v>344</v>
      </c>
      <c r="E53" s="25" t="s">
        <v>337</v>
      </c>
      <c r="F53" s="18"/>
      <c r="G53" s="18"/>
      <c r="H53" s="18"/>
      <c r="I53" s="18"/>
      <c r="J53" s="18" t="s">
        <v>339</v>
      </c>
    </row>
    <row r="54" spans="1:10" ht="126" x14ac:dyDescent="0.2">
      <c r="A54" s="18">
        <v>49</v>
      </c>
      <c r="B54" s="18" t="s">
        <v>337</v>
      </c>
      <c r="C54" s="18" t="s">
        <v>192</v>
      </c>
      <c r="D54" s="19" t="s">
        <v>345</v>
      </c>
      <c r="E54" s="25" t="s">
        <v>337</v>
      </c>
      <c r="F54" s="18"/>
      <c r="G54" s="18"/>
      <c r="H54" s="18"/>
      <c r="I54" s="18"/>
      <c r="J54" s="18" t="s">
        <v>339</v>
      </c>
    </row>
    <row r="55" spans="1:10" ht="70" x14ac:dyDescent="0.2">
      <c r="A55" s="18">
        <v>50</v>
      </c>
      <c r="B55" s="18" t="s">
        <v>337</v>
      </c>
      <c r="C55" s="18" t="s">
        <v>192</v>
      </c>
      <c r="D55" s="19" t="s">
        <v>346</v>
      </c>
      <c r="E55" s="25" t="s">
        <v>337</v>
      </c>
      <c r="F55" s="18"/>
      <c r="G55" s="18"/>
      <c r="H55" s="18"/>
      <c r="I55" s="18"/>
      <c r="J55" s="18" t="s">
        <v>339</v>
      </c>
    </row>
  </sheetData>
  <autoFilter ref="A5:J5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0"/>
  <sheetViews>
    <sheetView tabSelected="1"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8.6640625" defaultRowHeight="15" x14ac:dyDescent="0.2"/>
  <cols>
    <col min="1" max="1" width="8" customWidth="1"/>
    <col min="2" max="2" width="18" customWidth="1"/>
    <col min="3" max="3" width="30" customWidth="1"/>
    <col min="4" max="4" width="80" customWidth="1"/>
    <col min="5" max="5" width="24" customWidth="1"/>
    <col min="6" max="6" width="10" customWidth="1"/>
    <col min="7" max="7" width="22" customWidth="1"/>
  </cols>
  <sheetData>
    <row r="1" spans="1:7" ht="17.25" customHeight="1" x14ac:dyDescent="0.2">
      <c r="A1" s="26" t="s">
        <v>474</v>
      </c>
    </row>
    <row r="2" spans="1:7" ht="15" customHeight="1" x14ac:dyDescent="0.2">
      <c r="A2" s="2" t="s">
        <v>347</v>
      </c>
    </row>
    <row r="4" spans="1:7" ht="15" customHeight="1" x14ac:dyDescent="0.2">
      <c r="A4" s="3" t="s">
        <v>26</v>
      </c>
      <c r="B4" s="3" t="s">
        <v>27</v>
      </c>
      <c r="C4" s="3" t="s">
        <v>28</v>
      </c>
      <c r="D4" s="3" t="s">
        <v>29</v>
      </c>
      <c r="E4" s="3" t="s">
        <v>2</v>
      </c>
      <c r="F4" s="3" t="s">
        <v>30</v>
      </c>
      <c r="G4" s="3" t="s">
        <v>31</v>
      </c>
    </row>
    <row r="5" spans="1:7" ht="23.75" customHeight="1" x14ac:dyDescent="0.2">
      <c r="A5" s="5" t="s">
        <v>348</v>
      </c>
      <c r="B5" s="5" t="s">
        <v>349</v>
      </c>
      <c r="C5" s="13" t="s">
        <v>350</v>
      </c>
      <c r="D5" s="5" t="s">
        <v>351</v>
      </c>
      <c r="E5" s="5" t="s">
        <v>9</v>
      </c>
      <c r="F5" s="5" t="s">
        <v>36</v>
      </c>
      <c r="G5" s="5" t="s">
        <v>37</v>
      </c>
    </row>
    <row r="6" spans="1:7" ht="15" customHeight="1" x14ac:dyDescent="0.2">
      <c r="A6" s="5" t="s">
        <v>352</v>
      </c>
      <c r="B6" s="5" t="s">
        <v>349</v>
      </c>
      <c r="C6" s="13" t="s">
        <v>353</v>
      </c>
      <c r="D6" s="5" t="s">
        <v>354</v>
      </c>
      <c r="E6" s="5" t="s">
        <v>9</v>
      </c>
      <c r="F6" s="5" t="s">
        <v>36</v>
      </c>
      <c r="G6" s="5" t="s">
        <v>37</v>
      </c>
    </row>
    <row r="7" spans="1:7" ht="15" customHeight="1" x14ac:dyDescent="0.2">
      <c r="A7" s="5" t="s">
        <v>355</v>
      </c>
      <c r="B7" s="5" t="s">
        <v>349</v>
      </c>
      <c r="C7" s="13" t="s">
        <v>356</v>
      </c>
      <c r="D7" s="5" t="s">
        <v>357</v>
      </c>
      <c r="E7" s="5" t="s">
        <v>9</v>
      </c>
      <c r="F7" s="5" t="s">
        <v>36</v>
      </c>
      <c r="G7" s="5" t="s">
        <v>54</v>
      </c>
    </row>
    <row r="8" spans="1:7" ht="35" customHeight="1" x14ac:dyDescent="0.2">
      <c r="A8" s="5" t="s">
        <v>358</v>
      </c>
      <c r="B8" s="5" t="s">
        <v>359</v>
      </c>
      <c r="C8" s="13" t="s">
        <v>360</v>
      </c>
      <c r="D8" s="5" t="s">
        <v>361</v>
      </c>
      <c r="E8" s="5" t="s">
        <v>9</v>
      </c>
      <c r="F8" s="5" t="s">
        <v>36</v>
      </c>
      <c r="G8" s="5" t="s">
        <v>42</v>
      </c>
    </row>
    <row r="9" spans="1:7" ht="23.75" customHeight="1" x14ac:dyDescent="0.2">
      <c r="A9" s="5" t="s">
        <v>362</v>
      </c>
      <c r="B9" s="5" t="s">
        <v>44</v>
      </c>
      <c r="C9" s="13" t="s">
        <v>363</v>
      </c>
      <c r="D9" s="5" t="s">
        <v>364</v>
      </c>
      <c r="E9" s="5" t="s">
        <v>9</v>
      </c>
      <c r="F9" s="5" t="s">
        <v>36</v>
      </c>
      <c r="G9" s="5" t="s">
        <v>42</v>
      </c>
    </row>
    <row r="10" spans="1:7" ht="15" customHeight="1" x14ac:dyDescent="0.2">
      <c r="A10" s="5" t="s">
        <v>365</v>
      </c>
      <c r="B10" s="5" t="s">
        <v>366</v>
      </c>
      <c r="C10" s="13" t="s">
        <v>367</v>
      </c>
      <c r="D10" s="5" t="s">
        <v>368</v>
      </c>
      <c r="E10" s="5" t="s">
        <v>9</v>
      </c>
      <c r="F10" s="5" t="s">
        <v>36</v>
      </c>
      <c r="G10" s="5" t="s">
        <v>37</v>
      </c>
    </row>
    <row r="11" spans="1:7" ht="23.75" customHeight="1" x14ac:dyDescent="0.2">
      <c r="A11" s="5" t="s">
        <v>369</v>
      </c>
      <c r="B11" s="5" t="s">
        <v>366</v>
      </c>
      <c r="C11" s="13" t="s">
        <v>370</v>
      </c>
      <c r="D11" s="5" t="s">
        <v>371</v>
      </c>
      <c r="E11" s="5" t="s">
        <v>9</v>
      </c>
      <c r="F11" s="5" t="s">
        <v>36</v>
      </c>
      <c r="G11" s="5" t="s">
        <v>42</v>
      </c>
    </row>
    <row r="12" spans="1:7" ht="23.75" customHeight="1" x14ac:dyDescent="0.2">
      <c r="A12" s="5" t="s">
        <v>372</v>
      </c>
      <c r="B12" s="5" t="s">
        <v>366</v>
      </c>
      <c r="C12" s="13" t="s">
        <v>373</v>
      </c>
      <c r="D12" s="5" t="s">
        <v>374</v>
      </c>
      <c r="E12" s="5" t="s">
        <v>9</v>
      </c>
      <c r="F12" s="5" t="s">
        <v>36</v>
      </c>
      <c r="G12" s="5" t="s">
        <v>54</v>
      </c>
    </row>
    <row r="13" spans="1:7" ht="15" customHeight="1" x14ac:dyDescent="0.2">
      <c r="A13" s="5" t="s">
        <v>375</v>
      </c>
      <c r="B13" s="5" t="s">
        <v>366</v>
      </c>
      <c r="C13" s="13" t="s">
        <v>376</v>
      </c>
      <c r="D13" s="5" t="s">
        <v>377</v>
      </c>
      <c r="E13" s="5" t="s">
        <v>9</v>
      </c>
      <c r="F13" s="5" t="s">
        <v>36</v>
      </c>
      <c r="G13" s="5" t="s">
        <v>54</v>
      </c>
    </row>
    <row r="14" spans="1:7" ht="23.75" customHeight="1" x14ac:dyDescent="0.2">
      <c r="A14" s="5" t="s">
        <v>378</v>
      </c>
      <c r="B14" s="5" t="s">
        <v>87</v>
      </c>
      <c r="C14" s="13" t="s">
        <v>379</v>
      </c>
      <c r="D14" s="5" t="s">
        <v>380</v>
      </c>
      <c r="E14" s="5" t="s">
        <v>9</v>
      </c>
      <c r="F14" s="5" t="s">
        <v>36</v>
      </c>
      <c r="G14" s="5" t="s">
        <v>42</v>
      </c>
    </row>
    <row r="15" spans="1:7" ht="15" customHeight="1" x14ac:dyDescent="0.2">
      <c r="A15" s="5" t="s">
        <v>381</v>
      </c>
      <c r="B15" s="5" t="s">
        <v>366</v>
      </c>
      <c r="C15" s="13" t="s">
        <v>382</v>
      </c>
      <c r="D15" s="5" t="s">
        <v>383</v>
      </c>
      <c r="E15" s="5" t="s">
        <v>9</v>
      </c>
      <c r="F15" s="5" t="s">
        <v>36</v>
      </c>
      <c r="G15" s="5" t="s">
        <v>37</v>
      </c>
    </row>
    <row r="16" spans="1:7" ht="15" customHeight="1" x14ac:dyDescent="0.2">
      <c r="A16" s="5" t="s">
        <v>384</v>
      </c>
      <c r="B16" s="5" t="s">
        <v>87</v>
      </c>
      <c r="C16" s="13" t="s">
        <v>385</v>
      </c>
      <c r="D16" s="5" t="s">
        <v>386</v>
      </c>
      <c r="E16" s="5" t="s">
        <v>9</v>
      </c>
      <c r="F16" s="5" t="s">
        <v>96</v>
      </c>
      <c r="G16" s="5" t="s">
        <v>54</v>
      </c>
    </row>
    <row r="17" spans="1:7" ht="23.75" customHeight="1" x14ac:dyDescent="0.2">
      <c r="A17" s="5" t="s">
        <v>387</v>
      </c>
      <c r="B17" s="5" t="s">
        <v>388</v>
      </c>
      <c r="C17" s="13" t="s">
        <v>389</v>
      </c>
      <c r="D17" s="5" t="s">
        <v>390</v>
      </c>
      <c r="E17" s="5" t="s">
        <v>9</v>
      </c>
      <c r="F17" s="5" t="s">
        <v>96</v>
      </c>
      <c r="G17" s="5" t="s">
        <v>42</v>
      </c>
    </row>
    <row r="18" spans="1:7" ht="23.75" customHeight="1" x14ac:dyDescent="0.2">
      <c r="A18" s="5" t="s">
        <v>391</v>
      </c>
      <c r="B18" s="5" t="s">
        <v>366</v>
      </c>
      <c r="C18" s="13" t="s">
        <v>392</v>
      </c>
      <c r="D18" s="5" t="s">
        <v>393</v>
      </c>
      <c r="E18" s="5" t="s">
        <v>12</v>
      </c>
      <c r="F18" s="5" t="s">
        <v>36</v>
      </c>
      <c r="G18" s="5" t="s">
        <v>37</v>
      </c>
    </row>
    <row r="19" spans="1:7" ht="15" customHeight="1" x14ac:dyDescent="0.2">
      <c r="A19" s="5" t="s">
        <v>394</v>
      </c>
      <c r="B19" s="5" t="s">
        <v>395</v>
      </c>
      <c r="C19" s="13" t="s">
        <v>396</v>
      </c>
      <c r="D19" s="5" t="s">
        <v>397</v>
      </c>
      <c r="E19" s="5" t="s">
        <v>12</v>
      </c>
      <c r="F19" s="5" t="s">
        <v>36</v>
      </c>
      <c r="G19" s="5" t="s">
        <v>37</v>
      </c>
    </row>
    <row r="20" spans="1:7" ht="15" customHeight="1" x14ac:dyDescent="0.2">
      <c r="A20" s="5" t="s">
        <v>398</v>
      </c>
      <c r="B20" s="5" t="s">
        <v>395</v>
      </c>
      <c r="C20" s="13" t="s">
        <v>399</v>
      </c>
      <c r="D20" s="5" t="s">
        <v>400</v>
      </c>
      <c r="E20" s="5" t="s">
        <v>12</v>
      </c>
      <c r="F20" s="5" t="s">
        <v>96</v>
      </c>
      <c r="G20" s="5" t="s">
        <v>37</v>
      </c>
    </row>
    <row r="21" spans="1:7" ht="15" customHeight="1" x14ac:dyDescent="0.2">
      <c r="A21" s="5" t="s">
        <v>401</v>
      </c>
      <c r="B21" s="5" t="s">
        <v>366</v>
      </c>
      <c r="C21" s="13" t="s">
        <v>402</v>
      </c>
      <c r="D21" s="5" t="s">
        <v>403</v>
      </c>
      <c r="E21" s="5" t="s">
        <v>12</v>
      </c>
      <c r="F21" s="5" t="s">
        <v>96</v>
      </c>
      <c r="G21" s="5" t="s">
        <v>37</v>
      </c>
    </row>
    <row r="22" spans="1:7" ht="23.75" customHeight="1" x14ac:dyDescent="0.2">
      <c r="A22" s="5" t="s">
        <v>404</v>
      </c>
      <c r="B22" s="5" t="s">
        <v>395</v>
      </c>
      <c r="C22" s="13" t="s">
        <v>405</v>
      </c>
      <c r="D22" s="5" t="s">
        <v>406</v>
      </c>
      <c r="E22" s="5" t="s">
        <v>12</v>
      </c>
      <c r="F22" s="5" t="s">
        <v>96</v>
      </c>
      <c r="G22" s="5" t="s">
        <v>37</v>
      </c>
    </row>
    <row r="23" spans="1:7" ht="15" customHeight="1" x14ac:dyDescent="0.2">
      <c r="A23" s="5" t="s">
        <v>407</v>
      </c>
      <c r="B23" s="5" t="s">
        <v>359</v>
      </c>
      <c r="C23" s="13" t="s">
        <v>408</v>
      </c>
      <c r="D23" s="5" t="s">
        <v>409</v>
      </c>
      <c r="E23" s="5" t="s">
        <v>12</v>
      </c>
      <c r="F23" s="5" t="s">
        <v>96</v>
      </c>
      <c r="G23" s="5" t="s">
        <v>37</v>
      </c>
    </row>
    <row r="24" spans="1:7" ht="15" customHeight="1" x14ac:dyDescent="0.2">
      <c r="A24" s="5" t="s">
        <v>410</v>
      </c>
      <c r="B24" s="5" t="s">
        <v>411</v>
      </c>
      <c r="C24" s="13" t="s">
        <v>412</v>
      </c>
      <c r="D24" s="5" t="s">
        <v>413</v>
      </c>
      <c r="E24" s="5" t="s">
        <v>12</v>
      </c>
      <c r="F24" s="5" t="s">
        <v>96</v>
      </c>
      <c r="G24" s="5" t="s">
        <v>37</v>
      </c>
    </row>
    <row r="25" spans="1:7" ht="15" customHeight="1" x14ac:dyDescent="0.2">
      <c r="A25" s="5" t="s">
        <v>414</v>
      </c>
      <c r="B25" s="5" t="s">
        <v>349</v>
      </c>
      <c r="C25" s="13" t="s">
        <v>415</v>
      </c>
      <c r="D25" s="5" t="s">
        <v>416</v>
      </c>
      <c r="E25" s="5" t="s">
        <v>12</v>
      </c>
      <c r="F25" s="5" t="s">
        <v>96</v>
      </c>
      <c r="G25" s="5" t="s">
        <v>37</v>
      </c>
    </row>
    <row r="26" spans="1:7" ht="15" customHeight="1" x14ac:dyDescent="0.2">
      <c r="A26" s="5" t="s">
        <v>417</v>
      </c>
      <c r="B26" s="5" t="s">
        <v>418</v>
      </c>
      <c r="C26" s="13" t="s">
        <v>419</v>
      </c>
      <c r="D26" s="5" t="s">
        <v>420</v>
      </c>
      <c r="E26" s="5" t="s">
        <v>15</v>
      </c>
      <c r="F26" s="5" t="s">
        <v>133</v>
      </c>
      <c r="G26" s="5" t="s">
        <v>37</v>
      </c>
    </row>
    <row r="27" spans="1:7" ht="15" customHeight="1" x14ac:dyDescent="0.2">
      <c r="A27" s="5" t="s">
        <v>421</v>
      </c>
      <c r="B27" s="5" t="s">
        <v>422</v>
      </c>
      <c r="C27" s="13" t="s">
        <v>423</v>
      </c>
      <c r="D27" s="5" t="s">
        <v>424</v>
      </c>
      <c r="E27" s="5" t="s">
        <v>15</v>
      </c>
      <c r="F27" s="5" t="s">
        <v>133</v>
      </c>
      <c r="G27" s="5" t="s">
        <v>37</v>
      </c>
    </row>
    <row r="28" spans="1:7" ht="15" customHeight="1" x14ac:dyDescent="0.2">
      <c r="A28" s="5" t="s">
        <v>425</v>
      </c>
      <c r="B28" s="5" t="s">
        <v>359</v>
      </c>
      <c r="C28" s="13" t="s">
        <v>426</v>
      </c>
      <c r="D28" s="5" t="s">
        <v>427</v>
      </c>
      <c r="E28" s="5" t="s">
        <v>15</v>
      </c>
      <c r="F28" s="5" t="s">
        <v>133</v>
      </c>
      <c r="G28" s="5" t="s">
        <v>37</v>
      </c>
    </row>
    <row r="29" spans="1:7" ht="15" customHeight="1" x14ac:dyDescent="0.2">
      <c r="A29" s="5" t="s">
        <v>428</v>
      </c>
      <c r="B29" s="5" t="s">
        <v>87</v>
      </c>
      <c r="C29" s="13" t="s">
        <v>429</v>
      </c>
      <c r="D29" s="5" t="s">
        <v>430</v>
      </c>
      <c r="E29" s="5" t="s">
        <v>15</v>
      </c>
      <c r="F29" s="5" t="s">
        <v>133</v>
      </c>
      <c r="G29" s="5" t="s">
        <v>37</v>
      </c>
    </row>
    <row r="30" spans="1:7" ht="15" customHeight="1" x14ac:dyDescent="0.2">
      <c r="A30" s="5" t="s">
        <v>431</v>
      </c>
      <c r="B30" s="5" t="s">
        <v>432</v>
      </c>
      <c r="C30" s="13" t="s">
        <v>433</v>
      </c>
      <c r="D30" s="5" t="s">
        <v>434</v>
      </c>
      <c r="E30" s="5" t="s">
        <v>15</v>
      </c>
      <c r="F30" s="5" t="s">
        <v>133</v>
      </c>
      <c r="G30" s="5" t="s">
        <v>37</v>
      </c>
    </row>
  </sheetData>
  <autoFilter ref="A4:G30" xr:uid="{00000000-0009-0000-0000-000003000000}"/>
  <conditionalFormatting sqref="E5:E30">
    <cfRule type="expression" dxfId="5" priority="2">
      <formula>$E5="Phase 1 – MVP"</formula>
    </cfRule>
    <cfRule type="expression" dxfId="4" priority="3">
      <formula>$E5="Phase 2 – Guided learning"</formula>
    </cfRule>
    <cfRule type="expression" dxfId="3" priority="4">
      <formula>$E5="Phase 3 – Scale &amp; enrich"</formula>
    </cfRule>
  </conditionalFormatting>
  <dataValidations count="2">
    <dataValidation type="list" sqref="E5:E30" xr:uid="{00000000-0002-0000-0300-000000000000}">
      <formula1>"Phase 1 – MVP,Phase 2 – Guided learning,Phase 3 – Scale &amp; enrich"</formula1>
      <formula2>0</formula2>
    </dataValidation>
    <dataValidation type="list" sqref="F5:F30" xr:uid="{00000000-0002-0000-0300-000001000000}">
      <formula1>"Must,Should,Could"</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5"/>
  <sheetViews>
    <sheetView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8.6640625" defaultRowHeight="15" x14ac:dyDescent="0.2"/>
  <cols>
    <col min="1" max="1" width="8" customWidth="1"/>
    <col min="2" max="2" width="18" customWidth="1"/>
    <col min="3" max="3" width="30" customWidth="1"/>
    <col min="4" max="4" width="80" customWidth="1"/>
    <col min="5" max="5" width="24" customWidth="1"/>
    <col min="6" max="6" width="10" customWidth="1"/>
    <col min="7" max="7" width="22" customWidth="1"/>
  </cols>
  <sheetData>
    <row r="1" spans="1:7" ht="17.25" customHeight="1" x14ac:dyDescent="0.2">
      <c r="A1" s="12" t="s">
        <v>435</v>
      </c>
    </row>
    <row r="2" spans="1:7" ht="15" customHeight="1" x14ac:dyDescent="0.2">
      <c r="A2" s="2" t="s">
        <v>436</v>
      </c>
    </row>
    <row r="4" spans="1:7" ht="15" customHeight="1" x14ac:dyDescent="0.2">
      <c r="A4" s="3" t="s">
        <v>26</v>
      </c>
      <c r="B4" s="3" t="s">
        <v>27</v>
      </c>
      <c r="C4" s="3" t="s">
        <v>28</v>
      </c>
      <c r="D4" s="3" t="s">
        <v>29</v>
      </c>
      <c r="E4" s="3" t="s">
        <v>2</v>
      </c>
      <c r="F4" s="3" t="s">
        <v>30</v>
      </c>
      <c r="G4" s="3" t="s">
        <v>31</v>
      </c>
    </row>
    <row r="5" spans="1:7" ht="23.75" customHeight="1" x14ac:dyDescent="0.2">
      <c r="A5" s="5" t="s">
        <v>437</v>
      </c>
      <c r="B5" s="5" t="s">
        <v>438</v>
      </c>
      <c r="C5" s="13" t="s">
        <v>439</v>
      </c>
      <c r="D5" s="5" t="s">
        <v>440</v>
      </c>
      <c r="E5" s="5" t="s">
        <v>9</v>
      </c>
      <c r="F5" s="5" t="s">
        <v>36</v>
      </c>
      <c r="G5" s="5" t="s">
        <v>42</v>
      </c>
    </row>
    <row r="6" spans="1:7" ht="23.75" customHeight="1" x14ac:dyDescent="0.2">
      <c r="A6" s="5" t="s">
        <v>441</v>
      </c>
      <c r="B6" s="5" t="s">
        <v>438</v>
      </c>
      <c r="C6" s="13" t="s">
        <v>442</v>
      </c>
      <c r="D6" s="5" t="s">
        <v>443</v>
      </c>
      <c r="E6" s="5" t="s">
        <v>9</v>
      </c>
      <c r="F6" s="5" t="s">
        <v>36</v>
      </c>
      <c r="G6" s="5" t="s">
        <v>37</v>
      </c>
    </row>
    <row r="7" spans="1:7" ht="23.75" customHeight="1" x14ac:dyDescent="0.2">
      <c r="A7" s="5" t="s">
        <v>444</v>
      </c>
      <c r="B7" s="5" t="s">
        <v>445</v>
      </c>
      <c r="C7" s="13" t="s">
        <v>446</v>
      </c>
      <c r="D7" s="5" t="s">
        <v>447</v>
      </c>
      <c r="E7" s="5" t="s">
        <v>9</v>
      </c>
      <c r="F7" s="5" t="s">
        <v>36</v>
      </c>
      <c r="G7" s="5" t="s">
        <v>37</v>
      </c>
    </row>
    <row r="8" spans="1:7" ht="15" customHeight="1" x14ac:dyDescent="0.2">
      <c r="A8" s="5" t="s">
        <v>448</v>
      </c>
      <c r="B8" s="5" t="s">
        <v>449</v>
      </c>
      <c r="C8" s="13" t="s">
        <v>450</v>
      </c>
      <c r="D8" s="5" t="s">
        <v>451</v>
      </c>
      <c r="E8" s="5" t="s">
        <v>9</v>
      </c>
      <c r="F8" s="5" t="s">
        <v>36</v>
      </c>
      <c r="G8" s="5" t="s">
        <v>37</v>
      </c>
    </row>
    <row r="9" spans="1:7" ht="15" customHeight="1" x14ac:dyDescent="0.2">
      <c r="A9" s="5" t="s">
        <v>452</v>
      </c>
      <c r="B9" s="5" t="s">
        <v>453</v>
      </c>
      <c r="C9" s="13" t="s">
        <v>454</v>
      </c>
      <c r="D9" s="5" t="s">
        <v>455</v>
      </c>
      <c r="E9" s="5" t="s">
        <v>9</v>
      </c>
      <c r="F9" s="5" t="s">
        <v>36</v>
      </c>
      <c r="G9" s="5" t="s">
        <v>37</v>
      </c>
    </row>
    <row r="10" spans="1:7" ht="15" customHeight="1" x14ac:dyDescent="0.2">
      <c r="A10" s="5" t="s">
        <v>456</v>
      </c>
      <c r="B10" s="5" t="s">
        <v>453</v>
      </c>
      <c r="C10" s="13" t="s">
        <v>457</v>
      </c>
      <c r="D10" s="5" t="s">
        <v>458</v>
      </c>
      <c r="E10" s="5" t="s">
        <v>9</v>
      </c>
      <c r="F10" s="5" t="s">
        <v>36</v>
      </c>
      <c r="G10" s="5" t="s">
        <v>37</v>
      </c>
    </row>
    <row r="11" spans="1:7" ht="15" customHeight="1" x14ac:dyDescent="0.2">
      <c r="A11" s="5" t="s">
        <v>459</v>
      </c>
      <c r="B11" s="5" t="s">
        <v>453</v>
      </c>
      <c r="C11" s="13" t="s">
        <v>460</v>
      </c>
      <c r="D11" s="5" t="s">
        <v>461</v>
      </c>
      <c r="E11" s="5" t="s">
        <v>9</v>
      </c>
      <c r="F11" s="5" t="s">
        <v>36</v>
      </c>
      <c r="G11" s="5" t="s">
        <v>37</v>
      </c>
    </row>
    <row r="12" spans="1:7" ht="15" customHeight="1" x14ac:dyDescent="0.2">
      <c r="A12" s="5" t="s">
        <v>462</v>
      </c>
      <c r="B12" s="5" t="s">
        <v>453</v>
      </c>
      <c r="C12" s="13" t="s">
        <v>463</v>
      </c>
      <c r="D12" s="5" t="s">
        <v>464</v>
      </c>
      <c r="E12" s="5" t="s">
        <v>9</v>
      </c>
      <c r="F12" s="5" t="s">
        <v>96</v>
      </c>
      <c r="G12" s="5" t="s">
        <v>37</v>
      </c>
    </row>
    <row r="13" spans="1:7" ht="15" customHeight="1" x14ac:dyDescent="0.2">
      <c r="A13" s="5" t="s">
        <v>465</v>
      </c>
      <c r="B13" s="5" t="s">
        <v>453</v>
      </c>
      <c r="C13" s="13" t="s">
        <v>466</v>
      </c>
      <c r="D13" s="5" t="s">
        <v>467</v>
      </c>
      <c r="E13" s="5" t="s">
        <v>9</v>
      </c>
      <c r="F13" s="5" t="s">
        <v>36</v>
      </c>
      <c r="G13" s="5" t="s">
        <v>37</v>
      </c>
    </row>
    <row r="14" spans="1:7" ht="15" customHeight="1" x14ac:dyDescent="0.2">
      <c r="A14" s="5" t="s">
        <v>468</v>
      </c>
      <c r="B14" s="5" t="s">
        <v>453</v>
      </c>
      <c r="C14" s="13" t="s">
        <v>469</v>
      </c>
      <c r="D14" s="5" t="s">
        <v>470</v>
      </c>
      <c r="E14" s="5" t="s">
        <v>12</v>
      </c>
      <c r="F14" s="5" t="s">
        <v>96</v>
      </c>
      <c r="G14" s="5" t="s">
        <v>37</v>
      </c>
    </row>
    <row r="15" spans="1:7" ht="15" customHeight="1" x14ac:dyDescent="0.2">
      <c r="A15" s="5" t="s">
        <v>471</v>
      </c>
      <c r="B15" s="5" t="s">
        <v>453</v>
      </c>
      <c r="C15" s="13" t="s">
        <v>472</v>
      </c>
      <c r="D15" s="5" t="s">
        <v>473</v>
      </c>
      <c r="E15" s="5" t="s">
        <v>12</v>
      </c>
      <c r="F15" s="5" t="s">
        <v>96</v>
      </c>
      <c r="G15" s="5" t="s">
        <v>37</v>
      </c>
    </row>
  </sheetData>
  <autoFilter ref="A4:G15" xr:uid="{00000000-0009-0000-0000-000004000000}"/>
  <conditionalFormatting sqref="E5:E15">
    <cfRule type="expression" dxfId="2" priority="2">
      <formula>$E5="Phase 1 – MVP"</formula>
    </cfRule>
    <cfRule type="expression" dxfId="1" priority="3">
      <formula>$E5="Phase 2 – Guided learning"</formula>
    </cfRule>
    <cfRule type="expression" dxfId="0" priority="4">
      <formula>$E5="Phase 3 – Scale &amp; enrich"</formula>
    </cfRule>
  </conditionalFormatting>
  <dataValidations count="2">
    <dataValidation type="list" sqref="E5:E15" xr:uid="{00000000-0002-0000-0400-000000000000}">
      <formula1>"Phase 1 – MVP,Phase 2 – Guided learning,Phase 3 – Scale &amp; enrich"</formula1>
      <formula2>0</formula2>
    </dataValidation>
    <dataValidation type="list" sqref="F5:F15" xr:uid="{00000000-0002-0000-0400-000001000000}">
      <formula1>"Must,Should,Could"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Students</vt:lpstr>
      <vt:lpstr>S-06 Operations spec</vt:lpstr>
      <vt:lpstr>Teachers</vt:lpstr>
      <vt:lpstr>Platform (shared)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 Thuy Quynh Tran (Student)</cp:lastModifiedBy>
  <cp:revision>0</cp:revision>
  <dcterms:created xsi:type="dcterms:W3CDTF">2026-10-10T19:02:00Z</dcterms:created>
  <dcterms:modified xsi:type="dcterms:W3CDTF">2026-10-11T19:42:09Z</dcterms:modified>
  <dc:language>en-US</dc:language>
</cp:coreProperties>
</file>